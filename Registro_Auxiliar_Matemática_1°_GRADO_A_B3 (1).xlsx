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1a6a774f111aa3d/Escritorio/"/>
    </mc:Choice>
  </mc:AlternateContent>
  <xr:revisionPtr revIDLastSave="8" documentId="8_{F5CE1B91-424C-46E1-93B1-7F9DADA185D1}" xr6:coauthVersionLast="47" xr6:coauthVersionMax="47" xr10:uidLastSave="{5DD2A2AC-E497-40E1-8D45-28AFE35AEBF7}"/>
  <bookViews>
    <workbookView xWindow="1416" yWindow="1044" windowWidth="21600" windowHeight="11100" xr2:uid="{00000000-000D-0000-FFFF-FFFF00000000}"/>
  </bookViews>
  <sheets>
    <sheet name="3°A" sheetId="77" r:id="rId1"/>
  </sheets>
  <definedNames>
    <definedName name="_xlnm.Print_Area" localSheetId="0">'3°A'!$A$1:$AU$50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50" i="77" l="1"/>
  <c r="CC50" i="77"/>
  <c r="CB50" i="77"/>
  <c r="CA50" i="77"/>
  <c r="BZ50" i="77"/>
  <c r="BY50" i="77"/>
  <c r="BX50" i="77"/>
  <c r="CE50" i="77" s="1"/>
  <c r="BU50" i="77"/>
  <c r="BT50" i="77"/>
  <c r="BS50" i="77"/>
  <c r="BR50" i="77"/>
  <c r="BQ50" i="77"/>
  <c r="BP50" i="77"/>
  <c r="BV50" i="77" s="1"/>
  <c r="CI50" i="77" s="1"/>
  <c r="BO50" i="77"/>
  <c r="BL50" i="77"/>
  <c r="BK50" i="77"/>
  <c r="BJ50" i="77"/>
  <c r="BI50" i="77"/>
  <c r="BH50" i="77"/>
  <c r="BG50" i="77"/>
  <c r="BF50" i="77"/>
  <c r="BC50" i="77"/>
  <c r="BB50" i="77"/>
  <c r="BA50" i="77"/>
  <c r="AZ50" i="77"/>
  <c r="AY50" i="77"/>
  <c r="AX50" i="77"/>
  <c r="AW50" i="77"/>
  <c r="AC50" i="77"/>
  <c r="AQ50" i="77" s="1"/>
  <c r="CD49" i="77"/>
  <c r="CC49" i="77"/>
  <c r="CB49" i="77"/>
  <c r="CA49" i="77"/>
  <c r="CE49" i="77" s="1"/>
  <c r="BZ49" i="77"/>
  <c r="BY49" i="77"/>
  <c r="BX49" i="77"/>
  <c r="BU49" i="77"/>
  <c r="BT49" i="77"/>
  <c r="BS49" i="77"/>
  <c r="BR49" i="77"/>
  <c r="BV49" i="77" s="1"/>
  <c r="BQ49" i="77"/>
  <c r="BP49" i="77"/>
  <c r="BO49" i="77"/>
  <c r="BL49" i="77"/>
  <c r="BK49" i="77"/>
  <c r="BJ49" i="77"/>
  <c r="BI49" i="77"/>
  <c r="BH49" i="77"/>
  <c r="BG49" i="77"/>
  <c r="BF49" i="77"/>
  <c r="BC49" i="77"/>
  <c r="BB49" i="77"/>
  <c r="BA49" i="77"/>
  <c r="AZ49" i="77"/>
  <c r="AY49" i="77"/>
  <c r="AX49" i="77"/>
  <c r="AW49" i="77"/>
  <c r="CD48" i="77"/>
  <c r="CC48" i="77"/>
  <c r="CB48" i="77"/>
  <c r="CA48" i="77"/>
  <c r="BZ48" i="77"/>
  <c r="BY48" i="77"/>
  <c r="BX48" i="77"/>
  <c r="BU48" i="77"/>
  <c r="BT48" i="77"/>
  <c r="BS48" i="77"/>
  <c r="BR48" i="77"/>
  <c r="BQ48" i="77"/>
  <c r="BP48" i="77"/>
  <c r="BO48" i="77"/>
  <c r="BL48" i="77"/>
  <c r="BK48" i="77"/>
  <c r="BJ48" i="77"/>
  <c r="BI48" i="77"/>
  <c r="BH48" i="77"/>
  <c r="BG48" i="77"/>
  <c r="BF48" i="77"/>
  <c r="BC48" i="77"/>
  <c r="BB48" i="77"/>
  <c r="BA48" i="77"/>
  <c r="AZ48" i="77"/>
  <c r="AY48" i="77"/>
  <c r="AX48" i="77"/>
  <c r="AW48" i="77"/>
  <c r="BD48" i="77" s="1"/>
  <c r="CI47" i="77"/>
  <c r="CH47" i="77"/>
  <c r="CD47" i="77"/>
  <c r="CC47" i="77"/>
  <c r="CB47" i="77"/>
  <c r="CA47" i="77"/>
  <c r="BZ47" i="77"/>
  <c r="BY47" i="77"/>
  <c r="BX47" i="77"/>
  <c r="CE47" i="77" s="1"/>
  <c r="AL47" i="77" s="1"/>
  <c r="AR47" i="77" s="1"/>
  <c r="BU47" i="77"/>
  <c r="BT47" i="77"/>
  <c r="BS47" i="77"/>
  <c r="BR47" i="77"/>
  <c r="BQ47" i="77"/>
  <c r="BP47" i="77"/>
  <c r="BO47" i="77"/>
  <c r="BV47" i="77" s="1"/>
  <c r="AC47" i="77" s="1"/>
  <c r="AQ47" i="77" s="1"/>
  <c r="BL47" i="77"/>
  <c r="BK47" i="77"/>
  <c r="BJ47" i="77"/>
  <c r="BI47" i="77"/>
  <c r="BH47" i="77"/>
  <c r="BG47" i="77"/>
  <c r="BF47" i="77"/>
  <c r="BM47" i="77" s="1"/>
  <c r="BC47" i="77"/>
  <c r="BB47" i="77"/>
  <c r="BA47" i="77"/>
  <c r="AZ47" i="77"/>
  <c r="AY47" i="77"/>
  <c r="AX47" i="77"/>
  <c r="AW47" i="77"/>
  <c r="BD47" i="77" s="1"/>
  <c r="CG47" i="77" s="1"/>
  <c r="CK47" i="77" s="1"/>
  <c r="AS47" i="77" s="1"/>
  <c r="T47" i="77"/>
  <c r="AP47" i="77" s="1"/>
  <c r="K47" i="77"/>
  <c r="AO47" i="77" s="1"/>
  <c r="CH46" i="77"/>
  <c r="CD46" i="77"/>
  <c r="CC46" i="77"/>
  <c r="CB46" i="77"/>
  <c r="CA46" i="77"/>
  <c r="BZ46" i="77"/>
  <c r="BY46" i="77"/>
  <c r="BX46" i="77"/>
  <c r="CE46" i="77" s="1"/>
  <c r="BU46" i="77"/>
  <c r="BT46" i="77"/>
  <c r="BS46" i="77"/>
  <c r="BR46" i="77"/>
  <c r="BQ46" i="77"/>
  <c r="BP46" i="77"/>
  <c r="BO46" i="77"/>
  <c r="BV46" i="77" s="1"/>
  <c r="CI46" i="77" s="1"/>
  <c r="BL46" i="77"/>
  <c r="BK46" i="77"/>
  <c r="BJ46" i="77"/>
  <c r="BI46" i="77"/>
  <c r="BH46" i="77"/>
  <c r="BG46" i="77"/>
  <c r="BF46" i="77"/>
  <c r="BM46" i="77" s="1"/>
  <c r="BC46" i="77"/>
  <c r="BB46" i="77"/>
  <c r="BA46" i="77"/>
  <c r="AZ46" i="77"/>
  <c r="AY46" i="77"/>
  <c r="AX46" i="77"/>
  <c r="AW46" i="77"/>
  <c r="BD46" i="77" s="1"/>
  <c r="CG46" i="77" s="1"/>
  <c r="CK46" i="77" s="1"/>
  <c r="AS46" i="77" s="1"/>
  <c r="T46" i="77"/>
  <c r="AP46" i="77" s="1"/>
  <c r="K46" i="77"/>
  <c r="AO46" i="77" s="1"/>
  <c r="CD45" i="77"/>
  <c r="CC45" i="77"/>
  <c r="CB45" i="77"/>
  <c r="CA45" i="77"/>
  <c r="CE45" i="77" s="1"/>
  <c r="BZ45" i="77"/>
  <c r="BY45" i="77"/>
  <c r="BX45" i="77"/>
  <c r="BU45" i="77"/>
  <c r="BT45" i="77"/>
  <c r="BS45" i="77"/>
  <c r="BR45" i="77"/>
  <c r="BV45" i="77" s="1"/>
  <c r="BQ45" i="77"/>
  <c r="BP45" i="77"/>
  <c r="BO45" i="77"/>
  <c r="BL45" i="77"/>
  <c r="BK45" i="77"/>
  <c r="BJ45" i="77"/>
  <c r="BI45" i="77"/>
  <c r="BM45" i="77" s="1"/>
  <c r="BH45" i="77"/>
  <c r="BG45" i="77"/>
  <c r="BF45" i="77"/>
  <c r="BC45" i="77"/>
  <c r="BB45" i="77"/>
  <c r="BA45" i="77"/>
  <c r="AZ45" i="77"/>
  <c r="AY45" i="77"/>
  <c r="AX45" i="77"/>
  <c r="AW45" i="77"/>
  <c r="CD44" i="77"/>
  <c r="CC44" i="77"/>
  <c r="CB44" i="77"/>
  <c r="CA44" i="77"/>
  <c r="BZ44" i="77"/>
  <c r="BY44" i="77"/>
  <c r="BX44" i="77"/>
  <c r="BU44" i="77"/>
  <c r="BT44" i="77"/>
  <c r="BS44" i="77"/>
  <c r="BR44" i="77"/>
  <c r="BQ44" i="77"/>
  <c r="BP44" i="77"/>
  <c r="BO44" i="77"/>
  <c r="BL44" i="77"/>
  <c r="BK44" i="77"/>
  <c r="BJ44" i="77"/>
  <c r="BI44" i="77"/>
  <c r="BH44" i="77"/>
  <c r="BG44" i="77"/>
  <c r="BF44" i="77"/>
  <c r="BM44" i="77" s="1"/>
  <c r="BC44" i="77"/>
  <c r="BB44" i="77"/>
  <c r="BA44" i="77"/>
  <c r="AZ44" i="77"/>
  <c r="AY44" i="77"/>
  <c r="AX44" i="77"/>
  <c r="AW44" i="77"/>
  <c r="BD44" i="77" s="1"/>
  <c r="CH43" i="77"/>
  <c r="CD43" i="77"/>
  <c r="CC43" i="77"/>
  <c r="CB43" i="77"/>
  <c r="CA43" i="77"/>
  <c r="BZ43" i="77"/>
  <c r="BY43" i="77"/>
  <c r="BX43" i="77"/>
  <c r="CE43" i="77" s="1"/>
  <c r="AL43" i="77" s="1"/>
  <c r="AR43" i="77" s="1"/>
  <c r="BU43" i="77"/>
  <c r="BT43" i="77"/>
  <c r="BS43" i="77"/>
  <c r="BR43" i="77"/>
  <c r="BQ43" i="77"/>
  <c r="BP43" i="77"/>
  <c r="BO43" i="77"/>
  <c r="BV43" i="77" s="1"/>
  <c r="AC43" i="77" s="1"/>
  <c r="AQ43" i="77" s="1"/>
  <c r="BL43" i="77"/>
  <c r="BK43" i="77"/>
  <c r="BJ43" i="77"/>
  <c r="BI43" i="77"/>
  <c r="BH43" i="77"/>
  <c r="BG43" i="77"/>
  <c r="BF43" i="77"/>
  <c r="BM43" i="77" s="1"/>
  <c r="T43" i="77" s="1"/>
  <c r="AP43" i="77" s="1"/>
  <c r="BC43" i="77"/>
  <c r="BB43" i="77"/>
  <c r="BA43" i="77"/>
  <c r="AZ43" i="77"/>
  <c r="AY43" i="77"/>
  <c r="AX43" i="77"/>
  <c r="AW43" i="77"/>
  <c r="BD43" i="77" s="1"/>
  <c r="CG43" i="77" s="1"/>
  <c r="CK43" i="77" s="1"/>
  <c r="AS43" i="77" s="1"/>
  <c r="K43" i="77"/>
  <c r="AO43" i="77" s="1"/>
  <c r="CH42" i="77"/>
  <c r="CD42" i="77"/>
  <c r="CC42" i="77"/>
  <c r="CB42" i="77"/>
  <c r="CA42" i="77"/>
  <c r="BZ42" i="77"/>
  <c r="BY42" i="77"/>
  <c r="BX42" i="77"/>
  <c r="CE42" i="77" s="1"/>
  <c r="BU42" i="77"/>
  <c r="BT42" i="77"/>
  <c r="BS42" i="77"/>
  <c r="BR42" i="77"/>
  <c r="BQ42" i="77"/>
  <c r="BP42" i="77"/>
  <c r="BO42" i="77"/>
  <c r="BV42" i="77" s="1"/>
  <c r="BL42" i="77"/>
  <c r="BK42" i="77"/>
  <c r="BJ42" i="77"/>
  <c r="BI42" i="77"/>
  <c r="BH42" i="77"/>
  <c r="BG42" i="77"/>
  <c r="BF42" i="77"/>
  <c r="BM42" i="77" s="1"/>
  <c r="T42" i="77" s="1"/>
  <c r="AP42" i="77" s="1"/>
  <c r="BC42" i="77"/>
  <c r="BB42" i="77"/>
  <c r="BA42" i="77"/>
  <c r="AZ42" i="77"/>
  <c r="AY42" i="77"/>
  <c r="AX42" i="77"/>
  <c r="AW42" i="77"/>
  <c r="BD42" i="77" s="1"/>
  <c r="CG42" i="77" s="1"/>
  <c r="CK42" i="77" s="1"/>
  <c r="AS42" i="77" s="1"/>
  <c r="K42" i="77"/>
  <c r="AO42" i="77" s="1"/>
  <c r="CK41" i="77"/>
  <c r="AS41" i="77" s="1"/>
  <c r="CD41" i="77"/>
  <c r="CC41" i="77"/>
  <c r="CB41" i="77"/>
  <c r="CA41" i="77"/>
  <c r="CE41" i="77" s="1"/>
  <c r="AL41" i="77" s="1"/>
  <c r="AR41" i="77" s="1"/>
  <c r="BZ41" i="77"/>
  <c r="BY41" i="77"/>
  <c r="BX41" i="77"/>
  <c r="BU41" i="77"/>
  <c r="BT41" i="77"/>
  <c r="BS41" i="77"/>
  <c r="BR41" i="77"/>
  <c r="BV41" i="77" s="1"/>
  <c r="BQ41" i="77"/>
  <c r="BP41" i="77"/>
  <c r="BO41" i="77"/>
  <c r="BL41" i="77"/>
  <c r="BK41" i="77"/>
  <c r="BJ41" i="77"/>
  <c r="BI41" i="77"/>
  <c r="BM41" i="77" s="1"/>
  <c r="BH41" i="77"/>
  <c r="BG41" i="77"/>
  <c r="BF41" i="77"/>
  <c r="BC41" i="77"/>
  <c r="BB41" i="77"/>
  <c r="BA41" i="77"/>
  <c r="AZ41" i="77"/>
  <c r="BD41" i="77" s="1"/>
  <c r="CG41" i="77" s="1"/>
  <c r="AY41" i="77"/>
  <c r="AX41" i="77"/>
  <c r="AW41" i="77"/>
  <c r="K41" i="77"/>
  <c r="AO41" i="77" s="1"/>
  <c r="CD40" i="77"/>
  <c r="CC40" i="77"/>
  <c r="CB40" i="77"/>
  <c r="CA40" i="77"/>
  <c r="BZ40" i="77"/>
  <c r="BY40" i="77"/>
  <c r="BX40" i="77"/>
  <c r="BU40" i="77"/>
  <c r="BT40" i="77"/>
  <c r="BS40" i="77"/>
  <c r="BR40" i="77"/>
  <c r="BQ40" i="77"/>
  <c r="BP40" i="77"/>
  <c r="BO40" i="77"/>
  <c r="BV40" i="77" s="1"/>
  <c r="BL40" i="77"/>
  <c r="BK40" i="77"/>
  <c r="BJ40" i="77"/>
  <c r="BI40" i="77"/>
  <c r="BH40" i="77"/>
  <c r="BG40" i="77"/>
  <c r="BF40" i="77"/>
  <c r="BM40" i="77" s="1"/>
  <c r="BC40" i="77"/>
  <c r="BB40" i="77"/>
  <c r="BA40" i="77"/>
  <c r="AZ40" i="77"/>
  <c r="AY40" i="77"/>
  <c r="AX40" i="77"/>
  <c r="AW40" i="77"/>
  <c r="BD40" i="77" s="1"/>
  <c r="CD39" i="77"/>
  <c r="CC39" i="77"/>
  <c r="CB39" i="77"/>
  <c r="CA39" i="77"/>
  <c r="BZ39" i="77"/>
  <c r="CE39" i="77" s="1"/>
  <c r="BY39" i="77"/>
  <c r="BX39" i="77"/>
  <c r="BU39" i="77"/>
  <c r="BT39" i="77"/>
  <c r="BS39" i="77"/>
  <c r="BR39" i="77"/>
  <c r="BQ39" i="77"/>
  <c r="BV39" i="77" s="1"/>
  <c r="BP39" i="77"/>
  <c r="BO39" i="77"/>
  <c r="BL39" i="77"/>
  <c r="BK39" i="77"/>
  <c r="BJ39" i="77"/>
  <c r="BI39" i="77"/>
  <c r="BH39" i="77"/>
  <c r="BM39" i="77" s="1"/>
  <c r="BG39" i="77"/>
  <c r="BF39" i="77"/>
  <c r="BC39" i="77"/>
  <c r="BB39" i="77"/>
  <c r="BA39" i="77"/>
  <c r="AZ39" i="77"/>
  <c r="AY39" i="77"/>
  <c r="BD39" i="77" s="1"/>
  <c r="AX39" i="77"/>
  <c r="AW39" i="77"/>
  <c r="CE38" i="77"/>
  <c r="CD38" i="77"/>
  <c r="CC38" i="77"/>
  <c r="CB38" i="77"/>
  <c r="CA38" i="77"/>
  <c r="BZ38" i="77"/>
  <c r="BY38" i="77"/>
  <c r="BX38" i="77"/>
  <c r="BV38" i="77"/>
  <c r="BU38" i="77"/>
  <c r="BT38" i="77"/>
  <c r="BS38" i="77"/>
  <c r="BR38" i="77"/>
  <c r="BQ38" i="77"/>
  <c r="BP38" i="77"/>
  <c r="BO38" i="77"/>
  <c r="BM38" i="77"/>
  <c r="T38" i="77" s="1"/>
  <c r="AP38" i="77" s="1"/>
  <c r="BL38" i="77"/>
  <c r="BK38" i="77"/>
  <c r="BJ38" i="77"/>
  <c r="BI38" i="77"/>
  <c r="BH38" i="77"/>
  <c r="BG38" i="77"/>
  <c r="BF38" i="77"/>
  <c r="BD38" i="77"/>
  <c r="CG38" i="77" s="1"/>
  <c r="CK38" i="77" s="1"/>
  <c r="AS38" i="77" s="1"/>
  <c r="BC38" i="77"/>
  <c r="BB38" i="77"/>
  <c r="BA38" i="77"/>
  <c r="AZ38" i="77"/>
  <c r="AY38" i="77"/>
  <c r="AX38" i="77"/>
  <c r="AW38" i="77"/>
  <c r="K38" i="77"/>
  <c r="AO38" i="77" s="1"/>
  <c r="CE37" i="77"/>
  <c r="AL37" i="77" s="1"/>
  <c r="AR37" i="77" s="1"/>
  <c r="CD37" i="77"/>
  <c r="CC37" i="77"/>
  <c r="CB37" i="77"/>
  <c r="CA37" i="77"/>
  <c r="BZ37" i="77"/>
  <c r="BY37" i="77"/>
  <c r="BX37" i="77"/>
  <c r="BU37" i="77"/>
  <c r="BT37" i="77"/>
  <c r="BS37" i="77"/>
  <c r="BR37" i="77"/>
  <c r="BQ37" i="77"/>
  <c r="BP37" i="77"/>
  <c r="BO37" i="77"/>
  <c r="BV37" i="77" s="1"/>
  <c r="BL37" i="77"/>
  <c r="BK37" i="77"/>
  <c r="BJ37" i="77"/>
  <c r="BI37" i="77"/>
  <c r="BH37" i="77"/>
  <c r="BG37" i="77"/>
  <c r="BF37" i="77"/>
  <c r="BM37" i="77" s="1"/>
  <c r="BC37" i="77"/>
  <c r="BB37" i="77"/>
  <c r="BA37" i="77"/>
  <c r="AZ37" i="77"/>
  <c r="AY37" i="77"/>
  <c r="AX37" i="77"/>
  <c r="AW37" i="77"/>
  <c r="BD37" i="77" s="1"/>
  <c r="CD36" i="77"/>
  <c r="CC36" i="77"/>
  <c r="CB36" i="77"/>
  <c r="CA36" i="77"/>
  <c r="BZ36" i="77"/>
  <c r="BY36" i="77"/>
  <c r="BX36" i="77"/>
  <c r="CE36" i="77" s="1"/>
  <c r="AL36" i="77" s="1"/>
  <c r="AR36" i="77" s="1"/>
  <c r="BU36" i="77"/>
  <c r="BT36" i="77"/>
  <c r="BS36" i="77"/>
  <c r="BR36" i="77"/>
  <c r="BQ36" i="77"/>
  <c r="BP36" i="77"/>
  <c r="BO36" i="77"/>
  <c r="BL36" i="77"/>
  <c r="BK36" i="77"/>
  <c r="BJ36" i="77"/>
  <c r="BI36" i="77"/>
  <c r="BH36" i="77"/>
  <c r="BG36" i="77"/>
  <c r="BF36" i="77"/>
  <c r="BC36" i="77"/>
  <c r="BB36" i="77"/>
  <c r="BA36" i="77"/>
  <c r="AZ36" i="77"/>
  <c r="AY36" i="77"/>
  <c r="AX36" i="77"/>
  <c r="AW36" i="77"/>
  <c r="CD35" i="77"/>
  <c r="CC35" i="77"/>
  <c r="CB35" i="77"/>
  <c r="CA35" i="77"/>
  <c r="BZ35" i="77"/>
  <c r="BY35" i="77"/>
  <c r="BX35" i="77"/>
  <c r="CE35" i="77" s="1"/>
  <c r="BU35" i="77"/>
  <c r="BT35" i="77"/>
  <c r="BS35" i="77"/>
  <c r="BR35" i="77"/>
  <c r="BQ35" i="77"/>
  <c r="BP35" i="77"/>
  <c r="BO35" i="77"/>
  <c r="BL35" i="77"/>
  <c r="BK35" i="77"/>
  <c r="BJ35" i="77"/>
  <c r="BI35" i="77"/>
  <c r="BH35" i="77"/>
  <c r="BG35" i="77"/>
  <c r="BF35" i="77"/>
  <c r="BM35" i="77" s="1"/>
  <c r="BC35" i="77"/>
  <c r="BB35" i="77"/>
  <c r="BA35" i="77"/>
  <c r="AZ35" i="77"/>
  <c r="AY35" i="77"/>
  <c r="AX35" i="77"/>
  <c r="AW35" i="77"/>
  <c r="BD35" i="77" s="1"/>
  <c r="CD34" i="77"/>
  <c r="CE34" i="77" s="1"/>
  <c r="CC34" i="77"/>
  <c r="CB34" i="77"/>
  <c r="CA34" i="77"/>
  <c r="BZ34" i="77"/>
  <c r="BY34" i="77"/>
  <c r="BX34" i="77"/>
  <c r="BU34" i="77"/>
  <c r="BT34" i="77"/>
  <c r="BS34" i="77"/>
  <c r="BR34" i="77"/>
  <c r="BQ34" i="77"/>
  <c r="BP34" i="77"/>
  <c r="BO34" i="77"/>
  <c r="BL34" i="77"/>
  <c r="BK34" i="77"/>
  <c r="BJ34" i="77"/>
  <c r="BI34" i="77"/>
  <c r="BH34" i="77"/>
  <c r="BG34" i="77"/>
  <c r="BF34" i="77"/>
  <c r="BC34" i="77"/>
  <c r="BB34" i="77"/>
  <c r="BA34" i="77"/>
  <c r="AZ34" i="77"/>
  <c r="AY34" i="77"/>
  <c r="AX34" i="77"/>
  <c r="AW34" i="77"/>
  <c r="CD33" i="77"/>
  <c r="CE33" i="77" s="1"/>
  <c r="CC33" i="77"/>
  <c r="CB33" i="77"/>
  <c r="CA33" i="77"/>
  <c r="BZ33" i="77"/>
  <c r="BY33" i="77"/>
  <c r="BX33" i="77"/>
  <c r="BU33" i="77"/>
  <c r="BV33" i="77" s="1"/>
  <c r="BT33" i="77"/>
  <c r="BS33" i="77"/>
  <c r="BR33" i="77"/>
  <c r="BQ33" i="77"/>
  <c r="BP33" i="77"/>
  <c r="BO33" i="77"/>
  <c r="BL33" i="77"/>
  <c r="BM33" i="77" s="1"/>
  <c r="BK33" i="77"/>
  <c r="BJ33" i="77"/>
  <c r="BI33" i="77"/>
  <c r="BH33" i="77"/>
  <c r="BG33" i="77"/>
  <c r="BF33" i="77"/>
  <c r="BC33" i="77"/>
  <c r="BD33" i="77" s="1"/>
  <c r="BB33" i="77"/>
  <c r="BA33" i="77"/>
  <c r="AZ33" i="77"/>
  <c r="AY33" i="77"/>
  <c r="AX33" i="77"/>
  <c r="AW33" i="77"/>
  <c r="CD32" i="77"/>
  <c r="CC32" i="77"/>
  <c r="CB32" i="77"/>
  <c r="CA32" i="77"/>
  <c r="BZ32" i="77"/>
  <c r="BY32" i="77"/>
  <c r="BX32" i="77"/>
  <c r="CE32" i="77" s="1"/>
  <c r="CJ32" i="77" s="1"/>
  <c r="BU32" i="77"/>
  <c r="BT32" i="77"/>
  <c r="BS32" i="77"/>
  <c r="BR32" i="77"/>
  <c r="BQ32" i="77"/>
  <c r="BP32" i="77"/>
  <c r="BO32" i="77"/>
  <c r="BL32" i="77"/>
  <c r="BK32" i="77"/>
  <c r="BJ32" i="77"/>
  <c r="BI32" i="77"/>
  <c r="BH32" i="77"/>
  <c r="BG32" i="77"/>
  <c r="BF32" i="77"/>
  <c r="BC32" i="77"/>
  <c r="BB32" i="77"/>
  <c r="BA32" i="77"/>
  <c r="AZ32" i="77"/>
  <c r="AY32" i="77"/>
  <c r="AX32" i="77"/>
  <c r="AW32" i="77"/>
  <c r="AL32" i="77"/>
  <c r="AR32" i="77" s="1"/>
  <c r="CE31" i="77"/>
  <c r="CJ31" i="77" s="1"/>
  <c r="CD31" i="77"/>
  <c r="CC31" i="77"/>
  <c r="CB31" i="77"/>
  <c r="CA31" i="77"/>
  <c r="BZ31" i="77"/>
  <c r="BY31" i="77"/>
  <c r="BX31" i="77"/>
  <c r="BU31" i="77"/>
  <c r="BT31" i="77"/>
  <c r="BS31" i="77"/>
  <c r="BR31" i="77"/>
  <c r="BQ31" i="77"/>
  <c r="BP31" i="77"/>
  <c r="BV31" i="77" s="1"/>
  <c r="BO31" i="77"/>
  <c r="BL31" i="77"/>
  <c r="BK31" i="77"/>
  <c r="BJ31" i="77"/>
  <c r="BI31" i="77"/>
  <c r="BH31" i="77"/>
  <c r="BG31" i="77"/>
  <c r="BM31" i="77" s="1"/>
  <c r="BF31" i="77"/>
  <c r="BD31" i="77"/>
  <c r="K31" i="77" s="1"/>
  <c r="AO31" i="77" s="1"/>
  <c r="BC31" i="77"/>
  <c r="BB31" i="77"/>
  <c r="BA31" i="77"/>
  <c r="AZ31" i="77"/>
  <c r="AY31" i="77"/>
  <c r="AX31" i="77"/>
  <c r="AW31" i="77"/>
  <c r="CD30" i="77"/>
  <c r="CC30" i="77"/>
  <c r="CE30" i="77" s="1"/>
  <c r="CB30" i="77"/>
  <c r="CA30" i="77"/>
  <c r="BZ30" i="77"/>
  <c r="BY30" i="77"/>
  <c r="BX30" i="77"/>
  <c r="BU30" i="77"/>
  <c r="BT30" i="77"/>
  <c r="BV30" i="77" s="1"/>
  <c r="BS30" i="77"/>
  <c r="BR30" i="77"/>
  <c r="BQ30" i="77"/>
  <c r="BP30" i="77"/>
  <c r="BO30" i="77"/>
  <c r="BL30" i="77"/>
  <c r="BK30" i="77"/>
  <c r="BJ30" i="77"/>
  <c r="BI30" i="77"/>
  <c r="BH30" i="77"/>
  <c r="BG30" i="77"/>
  <c r="BF30" i="77"/>
  <c r="BC30" i="77"/>
  <c r="BB30" i="77"/>
  <c r="BA30" i="77"/>
  <c r="AZ30" i="77"/>
  <c r="AY30" i="77"/>
  <c r="AX30" i="77"/>
  <c r="AW30" i="77"/>
  <c r="CE29" i="77"/>
  <c r="AL29" i="77" s="1"/>
  <c r="AR29" i="77" s="1"/>
  <c r="CD29" i="77"/>
  <c r="CC29" i="77"/>
  <c r="CB29" i="77"/>
  <c r="CA29" i="77"/>
  <c r="BZ29" i="77"/>
  <c r="BY29" i="77"/>
  <c r="BX29" i="77"/>
  <c r="BU29" i="77"/>
  <c r="BT29" i="77"/>
  <c r="BS29" i="77"/>
  <c r="BR29" i="77"/>
  <c r="BQ29" i="77"/>
  <c r="BP29" i="77"/>
  <c r="BO29" i="77"/>
  <c r="BV29" i="77" s="1"/>
  <c r="BM29" i="77"/>
  <c r="BL29" i="77"/>
  <c r="BK29" i="77"/>
  <c r="BJ29" i="77"/>
  <c r="BI29" i="77"/>
  <c r="BH29" i="77"/>
  <c r="BG29" i="77"/>
  <c r="BF29" i="77"/>
  <c r="BC29" i="77"/>
  <c r="BB29" i="77"/>
  <c r="BA29" i="77"/>
  <c r="AZ29" i="77"/>
  <c r="AY29" i="77"/>
  <c r="AX29" i="77"/>
  <c r="AW29" i="77"/>
  <c r="BD29" i="77" s="1"/>
  <c r="CD28" i="77"/>
  <c r="CC28" i="77"/>
  <c r="CB28" i="77"/>
  <c r="CA28" i="77"/>
  <c r="BZ28" i="77"/>
  <c r="BY28" i="77"/>
  <c r="CE28" i="77" s="1"/>
  <c r="CJ28" i="77" s="1"/>
  <c r="BX28" i="77"/>
  <c r="BU28" i="77"/>
  <c r="BT28" i="77"/>
  <c r="BS28" i="77"/>
  <c r="BR28" i="77"/>
  <c r="BQ28" i="77"/>
  <c r="BP28" i="77"/>
  <c r="BO28" i="77"/>
  <c r="BL28" i="77"/>
  <c r="BK28" i="77"/>
  <c r="BJ28" i="77"/>
  <c r="BI28" i="77"/>
  <c r="BH28" i="77"/>
  <c r="BG28" i="77"/>
  <c r="BF28" i="77"/>
  <c r="BC28" i="77"/>
  <c r="BB28" i="77"/>
  <c r="BA28" i="77"/>
  <c r="AZ28" i="77"/>
  <c r="AY28" i="77"/>
  <c r="AX28" i="77"/>
  <c r="AW28" i="77"/>
  <c r="AL28" i="77"/>
  <c r="AR28" i="77" s="1"/>
  <c r="CE27" i="77"/>
  <c r="CJ27" i="77" s="1"/>
  <c r="CD27" i="77"/>
  <c r="CC27" i="77"/>
  <c r="CB27" i="77"/>
  <c r="CA27" i="77"/>
  <c r="BZ27" i="77"/>
  <c r="BY27" i="77"/>
  <c r="BX27" i="77"/>
  <c r="BU27" i="77"/>
  <c r="BT27" i="77"/>
  <c r="BS27" i="77"/>
  <c r="BR27" i="77"/>
  <c r="BQ27" i="77"/>
  <c r="BP27" i="77"/>
  <c r="BO27" i="77"/>
  <c r="BV27" i="77" s="1"/>
  <c r="CI27" i="77" s="1"/>
  <c r="BL27" i="77"/>
  <c r="BK27" i="77"/>
  <c r="BJ27" i="77"/>
  <c r="BI27" i="77"/>
  <c r="BH27" i="77"/>
  <c r="BG27" i="77"/>
  <c r="BF27" i="77"/>
  <c r="BM27" i="77" s="1"/>
  <c r="BD27" i="77"/>
  <c r="BC27" i="77"/>
  <c r="BB27" i="77"/>
  <c r="BA27" i="77"/>
  <c r="AZ27" i="77"/>
  <c r="AY27" i="77"/>
  <c r="AX27" i="77"/>
  <c r="AW27" i="77"/>
  <c r="AL27" i="77"/>
  <c r="AR27" i="77" s="1"/>
  <c r="CD26" i="77"/>
  <c r="CC26" i="77"/>
  <c r="CE26" i="77" s="1"/>
  <c r="CB26" i="77"/>
  <c r="CA26" i="77"/>
  <c r="BZ26" i="77"/>
  <c r="BY26" i="77"/>
  <c r="BX26" i="77"/>
  <c r="BU26" i="77"/>
  <c r="BT26" i="77"/>
  <c r="BV26" i="77" s="1"/>
  <c r="BS26" i="77"/>
  <c r="BR26" i="77"/>
  <c r="BQ26" i="77"/>
  <c r="BP26" i="77"/>
  <c r="BO26" i="77"/>
  <c r="BL26" i="77"/>
  <c r="BK26" i="77"/>
  <c r="BJ26" i="77"/>
  <c r="BI26" i="77"/>
  <c r="BH26" i="77"/>
  <c r="BG26" i="77"/>
  <c r="BF26" i="77"/>
  <c r="BC26" i="77"/>
  <c r="BB26" i="77"/>
  <c r="BA26" i="77"/>
  <c r="AZ26" i="77"/>
  <c r="AY26" i="77"/>
  <c r="AX26" i="77"/>
  <c r="AW26" i="77"/>
  <c r="CD25" i="77"/>
  <c r="CC25" i="77"/>
  <c r="CE25" i="77" s="1"/>
  <c r="CB25" i="77"/>
  <c r="CA25" i="77"/>
  <c r="BZ25" i="77"/>
  <c r="BY25" i="77"/>
  <c r="BX25" i="77"/>
  <c r="BU25" i="77"/>
  <c r="BT25" i="77"/>
  <c r="BS25" i="77"/>
  <c r="BR25" i="77"/>
  <c r="BQ25" i="77"/>
  <c r="BP25" i="77"/>
  <c r="BO25" i="77"/>
  <c r="BL25" i="77"/>
  <c r="BK25" i="77"/>
  <c r="BM25" i="77" s="1"/>
  <c r="BJ25" i="77"/>
  <c r="BI25" i="77"/>
  <c r="BH25" i="77"/>
  <c r="BG25" i="77"/>
  <c r="BF25" i="77"/>
  <c r="BC25" i="77"/>
  <c r="BB25" i="77"/>
  <c r="BA25" i="77"/>
  <c r="AZ25" i="77"/>
  <c r="AY25" i="77"/>
  <c r="AX25" i="77"/>
  <c r="AW25" i="77"/>
  <c r="CD24" i="77"/>
  <c r="CC24" i="77"/>
  <c r="CB24" i="77"/>
  <c r="CA24" i="77"/>
  <c r="BZ24" i="77"/>
  <c r="BY24" i="77"/>
  <c r="BX24" i="77"/>
  <c r="BU24" i="77"/>
  <c r="BT24" i="77"/>
  <c r="BS24" i="77"/>
  <c r="BR24" i="77"/>
  <c r="BQ24" i="77"/>
  <c r="BP24" i="77"/>
  <c r="BO24" i="77"/>
  <c r="BL24" i="77"/>
  <c r="BK24" i="77"/>
  <c r="BJ24" i="77"/>
  <c r="BI24" i="77"/>
  <c r="BH24" i="77"/>
  <c r="BG24" i="77"/>
  <c r="BF24" i="77"/>
  <c r="BC24" i="77"/>
  <c r="BB24" i="77"/>
  <c r="BA24" i="77"/>
  <c r="AZ24" i="77"/>
  <c r="AY24" i="77"/>
  <c r="AX24" i="77"/>
  <c r="AW24" i="77"/>
  <c r="CD23" i="77"/>
  <c r="CC23" i="77"/>
  <c r="CB23" i="77"/>
  <c r="CA23" i="77"/>
  <c r="CE23" i="77" s="1"/>
  <c r="AL23" i="77" s="1"/>
  <c r="AR23" i="77" s="1"/>
  <c r="BZ23" i="77"/>
  <c r="BY23" i="77"/>
  <c r="BX23" i="77"/>
  <c r="BU23" i="77"/>
  <c r="BT23" i="77"/>
  <c r="BS23" i="77"/>
  <c r="BR23" i="77"/>
  <c r="BQ23" i="77"/>
  <c r="BP23" i="77"/>
  <c r="BO23" i="77"/>
  <c r="BL23" i="77"/>
  <c r="BK23" i="77"/>
  <c r="BJ23" i="77"/>
  <c r="BI23" i="77"/>
  <c r="BH23" i="77"/>
  <c r="BG23" i="77"/>
  <c r="BF23" i="77"/>
  <c r="BC23" i="77"/>
  <c r="BB23" i="77"/>
  <c r="BA23" i="77"/>
  <c r="AZ23" i="77"/>
  <c r="AY23" i="77"/>
  <c r="AX23" i="77"/>
  <c r="AW23" i="77"/>
  <c r="CD22" i="77"/>
  <c r="CC22" i="77"/>
  <c r="CE22" i="77" s="1"/>
  <c r="CB22" i="77"/>
  <c r="CA22" i="77"/>
  <c r="BZ22" i="77"/>
  <c r="BY22" i="77"/>
  <c r="BX22" i="77"/>
  <c r="BU22" i="77"/>
  <c r="BT22" i="77"/>
  <c r="BV22" i="77" s="1"/>
  <c r="CI22" i="77" s="1"/>
  <c r="BS22" i="77"/>
  <c r="BR22" i="77"/>
  <c r="BQ22" i="77"/>
  <c r="BP22" i="77"/>
  <c r="BO22" i="77"/>
  <c r="BL22" i="77"/>
  <c r="BK22" i="77"/>
  <c r="BJ22" i="77"/>
  <c r="BI22" i="77"/>
  <c r="BH22" i="77"/>
  <c r="BG22" i="77"/>
  <c r="BF22" i="77"/>
  <c r="BC22" i="77"/>
  <c r="BB22" i="77"/>
  <c r="BA22" i="77"/>
  <c r="AZ22" i="77"/>
  <c r="AY22" i="77"/>
  <c r="AX22" i="77"/>
  <c r="AW22" i="77"/>
  <c r="CD21" i="77"/>
  <c r="CC21" i="77"/>
  <c r="CE21" i="77" s="1"/>
  <c r="CB21" i="77"/>
  <c r="CA21" i="77"/>
  <c r="BZ21" i="77"/>
  <c r="BY21" i="77"/>
  <c r="BX21" i="77"/>
  <c r="BU21" i="77"/>
  <c r="BT21" i="77"/>
  <c r="BS21" i="77"/>
  <c r="BR21" i="77"/>
  <c r="BQ21" i="77"/>
  <c r="BP21" i="77"/>
  <c r="BO21" i="77"/>
  <c r="BL21" i="77"/>
  <c r="BK21" i="77"/>
  <c r="BM21" i="77" s="1"/>
  <c r="BJ21" i="77"/>
  <c r="BI21" i="77"/>
  <c r="BH21" i="77"/>
  <c r="BG21" i="77"/>
  <c r="BF21" i="77"/>
  <c r="BC21" i="77"/>
  <c r="BB21" i="77"/>
  <c r="BA21" i="77"/>
  <c r="AZ21" i="77"/>
  <c r="AY21" i="77"/>
  <c r="AX21" i="77"/>
  <c r="AW21" i="77"/>
  <c r="CD20" i="77"/>
  <c r="CC20" i="77"/>
  <c r="CB20" i="77"/>
  <c r="CA20" i="77"/>
  <c r="BZ20" i="77"/>
  <c r="BY20" i="77"/>
  <c r="BX20" i="77"/>
  <c r="BU20" i="77"/>
  <c r="BT20" i="77"/>
  <c r="BS20" i="77"/>
  <c r="BR20" i="77"/>
  <c r="BQ20" i="77"/>
  <c r="BP20" i="77"/>
  <c r="BO20" i="77"/>
  <c r="BL20" i="77"/>
  <c r="BK20" i="77"/>
  <c r="BJ20" i="77"/>
  <c r="BI20" i="77"/>
  <c r="BH20" i="77"/>
  <c r="BG20" i="77"/>
  <c r="BF20" i="77"/>
  <c r="BC20" i="77"/>
  <c r="BB20" i="77"/>
  <c r="BA20" i="77"/>
  <c r="AZ20" i="77"/>
  <c r="AY20" i="77"/>
  <c r="AX20" i="77"/>
  <c r="AW20" i="77"/>
  <c r="CD19" i="77"/>
  <c r="CE19" i="77" s="1"/>
  <c r="CC19" i="77"/>
  <c r="CB19" i="77"/>
  <c r="CA19" i="77"/>
  <c r="BZ19" i="77"/>
  <c r="BY19" i="77"/>
  <c r="BX19" i="77"/>
  <c r="BU19" i="77"/>
  <c r="BT19" i="77"/>
  <c r="BS19" i="77"/>
  <c r="BR19" i="77"/>
  <c r="BQ19" i="77"/>
  <c r="BP19" i="77"/>
  <c r="BO19" i="77"/>
  <c r="BL19" i="77"/>
  <c r="BM19" i="77" s="1"/>
  <c r="BK19" i="77"/>
  <c r="BJ19" i="77"/>
  <c r="BI19" i="77"/>
  <c r="BH19" i="77"/>
  <c r="BG19" i="77"/>
  <c r="BF19" i="77"/>
  <c r="BC19" i="77"/>
  <c r="BB19" i="77"/>
  <c r="BA19" i="77"/>
  <c r="AZ19" i="77"/>
  <c r="AY19" i="77"/>
  <c r="AX19" i="77"/>
  <c r="AW19" i="77"/>
  <c r="CD18" i="77"/>
  <c r="CC18" i="77"/>
  <c r="CB18" i="77"/>
  <c r="CA18" i="77"/>
  <c r="BZ18" i="77"/>
  <c r="BY18" i="77"/>
  <c r="BX18" i="77"/>
  <c r="BU18" i="77"/>
  <c r="BT18" i="77"/>
  <c r="BS18" i="77"/>
  <c r="BR18" i="77"/>
  <c r="BQ18" i="77"/>
  <c r="BP18" i="77"/>
  <c r="BO18" i="77"/>
  <c r="BL18" i="77"/>
  <c r="BK18" i="77"/>
  <c r="BJ18" i="77"/>
  <c r="BI18" i="77"/>
  <c r="BH18" i="77"/>
  <c r="BG18" i="77"/>
  <c r="BF18" i="77"/>
  <c r="BC18" i="77"/>
  <c r="BB18" i="77"/>
  <c r="BA18" i="77"/>
  <c r="AZ18" i="77"/>
  <c r="AY18" i="77"/>
  <c r="AX18" i="77"/>
  <c r="AW18" i="77"/>
  <c r="CD17" i="77"/>
  <c r="CC17" i="77"/>
  <c r="CB17" i="77"/>
  <c r="CA17" i="77"/>
  <c r="BZ17" i="77"/>
  <c r="BY17" i="77"/>
  <c r="BX17" i="77"/>
  <c r="BU17" i="77"/>
  <c r="BT17" i="77"/>
  <c r="BS17" i="77"/>
  <c r="BR17" i="77"/>
  <c r="BQ17" i="77"/>
  <c r="BP17" i="77"/>
  <c r="BO17" i="77"/>
  <c r="BL17" i="77"/>
  <c r="BK17" i="77"/>
  <c r="BJ17" i="77"/>
  <c r="BI17" i="77"/>
  <c r="BH17" i="77"/>
  <c r="BG17" i="77"/>
  <c r="BF17" i="77"/>
  <c r="BC17" i="77"/>
  <c r="BB17" i="77"/>
  <c r="BA17" i="77"/>
  <c r="AZ17" i="77"/>
  <c r="AY17" i="77"/>
  <c r="AX17" i="77"/>
  <c r="AW17" i="77"/>
  <c r="CD16" i="77"/>
  <c r="CC16" i="77"/>
  <c r="CB16" i="77"/>
  <c r="CA16" i="77"/>
  <c r="BZ16" i="77"/>
  <c r="BY16" i="77"/>
  <c r="CE16" i="77" s="1"/>
  <c r="BX16" i="77"/>
  <c r="BU16" i="77"/>
  <c r="BT16" i="77"/>
  <c r="BS16" i="77"/>
  <c r="BR16" i="77"/>
  <c r="BQ16" i="77"/>
  <c r="BP16" i="77"/>
  <c r="BO16" i="77"/>
  <c r="BL16" i="77"/>
  <c r="BK16" i="77"/>
  <c r="BJ16" i="77"/>
  <c r="BI16" i="77"/>
  <c r="BH16" i="77"/>
  <c r="BG16" i="77"/>
  <c r="BM16" i="77" s="1"/>
  <c r="BF16" i="77"/>
  <c r="BC16" i="77"/>
  <c r="BB16" i="77"/>
  <c r="BA16" i="77"/>
  <c r="AZ16" i="77"/>
  <c r="AY16" i="77"/>
  <c r="AX16" i="77"/>
  <c r="AW16" i="77"/>
  <c r="CD15" i="77"/>
  <c r="CC15" i="77"/>
  <c r="CB15" i="77"/>
  <c r="CE15" i="77" s="1"/>
  <c r="CA15" i="77"/>
  <c r="BZ15" i="77"/>
  <c r="BY15" i="77"/>
  <c r="BX15" i="77"/>
  <c r="BU15" i="77"/>
  <c r="BT15" i="77"/>
  <c r="BS15" i="77"/>
  <c r="BR15" i="77"/>
  <c r="BQ15" i="77"/>
  <c r="BP15" i="77"/>
  <c r="BO15" i="77"/>
  <c r="BL15" i="77"/>
  <c r="BK15" i="77"/>
  <c r="BJ15" i="77"/>
  <c r="BI15" i="77"/>
  <c r="BH15" i="77"/>
  <c r="BG15" i="77"/>
  <c r="BF15" i="77"/>
  <c r="BC15" i="77"/>
  <c r="BB15" i="77"/>
  <c r="BA15" i="77"/>
  <c r="AZ15" i="77"/>
  <c r="AY15" i="77"/>
  <c r="AX15" i="77"/>
  <c r="AW15" i="77"/>
  <c r="CD14" i="77"/>
  <c r="CC14" i="77"/>
  <c r="CB14" i="77"/>
  <c r="CA14" i="77"/>
  <c r="BZ14" i="77"/>
  <c r="BY14" i="77"/>
  <c r="BX14" i="77"/>
  <c r="BU14" i="77"/>
  <c r="BT14" i="77"/>
  <c r="BS14" i="77"/>
  <c r="BR14" i="77"/>
  <c r="BQ14" i="77"/>
  <c r="BP14" i="77"/>
  <c r="BO14" i="77"/>
  <c r="BV14" i="77" s="1"/>
  <c r="AC14" i="77" s="1"/>
  <c r="AQ14" i="77" s="1"/>
  <c r="BL14" i="77"/>
  <c r="BK14" i="77"/>
  <c r="BJ14" i="77"/>
  <c r="BI14" i="77"/>
  <c r="BH14" i="77"/>
  <c r="BG14" i="77"/>
  <c r="BF14" i="77"/>
  <c r="BC14" i="77"/>
  <c r="BB14" i="77"/>
  <c r="BA14" i="77"/>
  <c r="AZ14" i="77"/>
  <c r="AY14" i="77"/>
  <c r="AX14" i="77"/>
  <c r="AW14" i="77"/>
  <c r="CD13" i="77"/>
  <c r="CC13" i="77"/>
  <c r="CB13" i="77"/>
  <c r="CA13" i="77"/>
  <c r="BZ13" i="77"/>
  <c r="BY13" i="77"/>
  <c r="CE13" i="77" s="1"/>
  <c r="BX13" i="77"/>
  <c r="BU13" i="77"/>
  <c r="BT13" i="77"/>
  <c r="BS13" i="77"/>
  <c r="BR13" i="77"/>
  <c r="BQ13" i="77"/>
  <c r="BP13" i="77"/>
  <c r="BO13" i="77"/>
  <c r="BL13" i="77"/>
  <c r="BK13" i="77"/>
  <c r="BJ13" i="77"/>
  <c r="BI13" i="77"/>
  <c r="BH13" i="77"/>
  <c r="BG13" i="77"/>
  <c r="BF13" i="77"/>
  <c r="BC13" i="77"/>
  <c r="BB13" i="77"/>
  <c r="BA13" i="77"/>
  <c r="AZ13" i="77"/>
  <c r="AY13" i="77"/>
  <c r="AX13" i="77"/>
  <c r="AW13" i="77"/>
  <c r="CD12" i="77"/>
  <c r="CC12" i="77"/>
  <c r="CB12" i="77"/>
  <c r="CA12" i="77"/>
  <c r="BZ12" i="77"/>
  <c r="BY12" i="77"/>
  <c r="BX12" i="77"/>
  <c r="CE12" i="77" s="1"/>
  <c r="CJ12" i="77" s="1"/>
  <c r="BU12" i="77"/>
  <c r="BT12" i="77"/>
  <c r="BS12" i="77"/>
  <c r="BR12" i="77"/>
  <c r="BQ12" i="77"/>
  <c r="BP12" i="77"/>
  <c r="BO12" i="77"/>
  <c r="BL12" i="77"/>
  <c r="BK12" i="77"/>
  <c r="BJ12" i="77"/>
  <c r="BI12" i="77"/>
  <c r="BH12" i="77"/>
  <c r="BG12" i="77"/>
  <c r="BF12" i="77"/>
  <c r="BC12" i="77"/>
  <c r="BB12" i="77"/>
  <c r="BA12" i="77"/>
  <c r="AZ12" i="77"/>
  <c r="AY12" i="77"/>
  <c r="AX12" i="77"/>
  <c r="AW12" i="77"/>
  <c r="AL12" i="77"/>
  <c r="AR12" i="77" s="1"/>
  <c r="CO11" i="77"/>
  <c r="CD11" i="77"/>
  <c r="CC11" i="77"/>
  <c r="CB11" i="77"/>
  <c r="CA11" i="77"/>
  <c r="BZ11" i="77"/>
  <c r="BY11" i="77"/>
  <c r="BX11" i="77"/>
  <c r="CE11" i="77" s="1"/>
  <c r="AL11" i="77" s="1"/>
  <c r="AR11" i="77" s="1"/>
  <c r="BU11" i="77"/>
  <c r="BT11" i="77"/>
  <c r="BS11" i="77"/>
  <c r="BR11" i="77"/>
  <c r="BQ11" i="77"/>
  <c r="BP11" i="77"/>
  <c r="BO11" i="77"/>
  <c r="BL11" i="77"/>
  <c r="BK11" i="77"/>
  <c r="BJ11" i="77"/>
  <c r="BI11" i="77"/>
  <c r="BH11" i="77"/>
  <c r="BG11" i="77"/>
  <c r="BF11" i="77"/>
  <c r="BC11" i="77"/>
  <c r="BB11" i="77"/>
  <c r="BA11" i="77"/>
  <c r="AZ11" i="77"/>
  <c r="AY11" i="77"/>
  <c r="AX11" i="77"/>
  <c r="AW11" i="77"/>
  <c r="AE8" i="77"/>
  <c r="V8" i="77"/>
  <c r="M8" i="77"/>
  <c r="D8" i="77"/>
  <c r="BV16" i="77" l="1"/>
  <c r="BV21" i="77"/>
  <c r="BV19" i="77"/>
  <c r="AC22" i="77"/>
  <c r="AQ22" i="77" s="1"/>
  <c r="BV25" i="77"/>
  <c r="BV35" i="77"/>
  <c r="AC35" i="77" s="1"/>
  <c r="AQ35" i="77" s="1"/>
  <c r="BV34" i="77"/>
  <c r="AC34" i="77" s="1"/>
  <c r="AQ34" i="77" s="1"/>
  <c r="BV13" i="77"/>
  <c r="CI13" i="77" s="1"/>
  <c r="BV32" i="77"/>
  <c r="BV15" i="77"/>
  <c r="BV23" i="77"/>
  <c r="CI23" i="77" s="1"/>
  <c r="BV36" i="77"/>
  <c r="BM13" i="77"/>
  <c r="T13" i="77" s="1"/>
  <c r="AP13" i="77" s="1"/>
  <c r="BM26" i="77"/>
  <c r="BM34" i="77"/>
  <c r="T34" i="77" s="1"/>
  <c r="AP34" i="77" s="1"/>
  <c r="BM30" i="77"/>
  <c r="BM14" i="77"/>
  <c r="BM15" i="77"/>
  <c r="BM23" i="77"/>
  <c r="CH23" i="77" s="1"/>
  <c r="BM36" i="77"/>
  <c r="CG37" i="77"/>
  <c r="K37" i="77"/>
  <c r="AO37" i="77" s="1"/>
  <c r="BD13" i="77"/>
  <c r="BD22" i="77"/>
  <c r="BD26" i="77"/>
  <c r="BD34" i="77"/>
  <c r="BD15" i="77"/>
  <c r="CG15" i="77" s="1"/>
  <c r="BD23" i="77"/>
  <c r="K23" i="77" s="1"/>
  <c r="AO23" i="77" s="1"/>
  <c r="BD30" i="77"/>
  <c r="BD16" i="77"/>
  <c r="BD21" i="77"/>
  <c r="BD19" i="77"/>
  <c r="BD25" i="77"/>
  <c r="CJ16" i="77"/>
  <c r="AL16" i="77"/>
  <c r="AR16" i="77" s="1"/>
  <c r="K22" i="77"/>
  <c r="AO22" i="77" s="1"/>
  <c r="CG22" i="77"/>
  <c r="CH15" i="77"/>
  <c r="T15" i="77"/>
  <c r="AP15" i="77" s="1"/>
  <c r="CJ19" i="77"/>
  <c r="AL19" i="77"/>
  <c r="AR19" i="77" s="1"/>
  <c r="AL25" i="77"/>
  <c r="AR25" i="77" s="1"/>
  <c r="CJ25" i="77"/>
  <c r="CH30" i="77"/>
  <c r="T30" i="77"/>
  <c r="AP30" i="77" s="1"/>
  <c r="CJ39" i="77"/>
  <c r="AL39" i="77"/>
  <c r="AR39" i="77" s="1"/>
  <c r="CI19" i="77"/>
  <c r="AC19" i="77"/>
  <c r="AQ19" i="77" s="1"/>
  <c r="AL33" i="77"/>
  <c r="AR33" i="77" s="1"/>
  <c r="CJ33" i="77"/>
  <c r="CJ13" i="77"/>
  <c r="AL13" i="77"/>
  <c r="AR13" i="77" s="1"/>
  <c r="K19" i="77"/>
  <c r="AO19" i="77" s="1"/>
  <c r="CG19" i="77"/>
  <c r="CK19" i="77" s="1"/>
  <c r="AS19" i="77" s="1"/>
  <c r="CG25" i="77"/>
  <c r="K25" i="77"/>
  <c r="AO25" i="77" s="1"/>
  <c r="CH33" i="77"/>
  <c r="T33" i="77"/>
  <c r="AP33" i="77" s="1"/>
  <c r="AL35" i="77"/>
  <c r="AR35" i="77" s="1"/>
  <c r="CJ35" i="77"/>
  <c r="CG39" i="77"/>
  <c r="CK39" i="77" s="1"/>
  <c r="AS39" i="77" s="1"/>
  <c r="K39" i="77"/>
  <c r="AO39" i="77" s="1"/>
  <c r="CI15" i="77"/>
  <c r="AC15" i="77"/>
  <c r="AQ15" i="77" s="1"/>
  <c r="AL21" i="77"/>
  <c r="AR21" i="77" s="1"/>
  <c r="CJ21" i="77"/>
  <c r="K26" i="77"/>
  <c r="AO26" i="77" s="1"/>
  <c r="CG26" i="77"/>
  <c r="CI30" i="77"/>
  <c r="AC30" i="77"/>
  <c r="AQ30" i="77" s="1"/>
  <c r="CH34" i="77"/>
  <c r="CI16" i="77"/>
  <c r="AC16" i="77"/>
  <c r="AQ16" i="77" s="1"/>
  <c r="CI21" i="77"/>
  <c r="AC21" i="77"/>
  <c r="AQ21" i="77" s="1"/>
  <c r="K34" i="77"/>
  <c r="AO34" i="77" s="1"/>
  <c r="CG34" i="77"/>
  <c r="CG21" i="77"/>
  <c r="K21" i="77"/>
  <c r="AO21" i="77" s="1"/>
  <c r="T39" i="77"/>
  <c r="AP39" i="77" s="1"/>
  <c r="CH39" i="77"/>
  <c r="AC13" i="77"/>
  <c r="AQ13" i="77" s="1"/>
  <c r="CJ26" i="77"/>
  <c r="AL26" i="77"/>
  <c r="AR26" i="77" s="1"/>
  <c r="CG33" i="77"/>
  <c r="K33" i="77"/>
  <c r="AO33" i="77" s="1"/>
  <c r="CI35" i="77"/>
  <c r="AC39" i="77"/>
  <c r="AQ39" i="77" s="1"/>
  <c r="CI39" i="77"/>
  <c r="CG16" i="77"/>
  <c r="K16" i="77"/>
  <c r="AO16" i="77" s="1"/>
  <c r="CH25" i="77"/>
  <c r="T25" i="77"/>
  <c r="AP25" i="77" s="1"/>
  <c r="CH13" i="77"/>
  <c r="CI26" i="77"/>
  <c r="AC26" i="77"/>
  <c r="AQ26" i="77" s="1"/>
  <c r="CJ34" i="77"/>
  <c r="AL34" i="77"/>
  <c r="AR34" i="77" s="1"/>
  <c r="T35" i="77"/>
  <c r="AP35" i="77" s="1"/>
  <c r="CH35" i="77"/>
  <c r="T16" i="77"/>
  <c r="AP16" i="77" s="1"/>
  <c r="CH16" i="77"/>
  <c r="CH21" i="77"/>
  <c r="T21" i="77"/>
  <c r="AP21" i="77" s="1"/>
  <c r="CI25" i="77"/>
  <c r="AC25" i="77"/>
  <c r="AQ25" i="77" s="1"/>
  <c r="K30" i="77"/>
  <c r="AO30" i="77" s="1"/>
  <c r="CG30" i="77"/>
  <c r="CK30" i="77" s="1"/>
  <c r="AS30" i="77" s="1"/>
  <c r="CH19" i="77"/>
  <c r="T19" i="77"/>
  <c r="AP19" i="77" s="1"/>
  <c r="CI33" i="77"/>
  <c r="AC33" i="77"/>
  <c r="AQ33" i="77" s="1"/>
  <c r="K13" i="77"/>
  <c r="AO13" i="77" s="1"/>
  <c r="CG13" i="77"/>
  <c r="CJ15" i="77"/>
  <c r="AL15" i="77"/>
  <c r="AR15" i="77" s="1"/>
  <c r="T26" i="77"/>
  <c r="AP26" i="77" s="1"/>
  <c r="CH26" i="77"/>
  <c r="CJ30" i="77"/>
  <c r="AL30" i="77"/>
  <c r="AR30" i="77" s="1"/>
  <c r="CI34" i="77"/>
  <c r="K35" i="77"/>
  <c r="AO35" i="77" s="1"/>
  <c r="CG35" i="77"/>
  <c r="BD14" i="77"/>
  <c r="CE18" i="77"/>
  <c r="CJ36" i="77"/>
  <c r="CJ47" i="77"/>
  <c r="BV12" i="77"/>
  <c r="BV18" i="77"/>
  <c r="CH38" i="77"/>
  <c r="CG40" i="77"/>
  <c r="CK40" i="77" s="1"/>
  <c r="AS40" i="77" s="1"/>
  <c r="K40" i="77"/>
  <c r="AO40" i="77" s="1"/>
  <c r="T44" i="77"/>
  <c r="AP44" i="77" s="1"/>
  <c r="CH44" i="77"/>
  <c r="AC46" i="77"/>
  <c r="AQ46" i="77" s="1"/>
  <c r="BV11" i="77"/>
  <c r="BM12" i="77"/>
  <c r="CE17" i="77"/>
  <c r="BM18" i="77"/>
  <c r="T36" i="77"/>
  <c r="AP36" i="77" s="1"/>
  <c r="CH36" i="77"/>
  <c r="CI41" i="77"/>
  <c r="AC41" i="77"/>
  <c r="AQ41" i="77" s="1"/>
  <c r="CG44" i="77"/>
  <c r="CK44" i="77" s="1"/>
  <c r="AS44" i="77" s="1"/>
  <c r="K44" i="77"/>
  <c r="AO44" i="77" s="1"/>
  <c r="AL45" i="77"/>
  <c r="AR45" i="77" s="1"/>
  <c r="CJ45" i="77"/>
  <c r="CG48" i="77"/>
  <c r="CK48" i="77" s="1"/>
  <c r="AS48" i="77" s="1"/>
  <c r="K48" i="77"/>
  <c r="AO48" i="77" s="1"/>
  <c r="AL49" i="77"/>
  <c r="AR49" i="77" s="1"/>
  <c r="CJ49" i="77"/>
  <c r="BM50" i="77"/>
  <c r="CG29" i="77"/>
  <c r="K29" i="77"/>
  <c r="AO29" i="77" s="1"/>
  <c r="CI29" i="77"/>
  <c r="AC29" i="77"/>
  <c r="AQ29" i="77" s="1"/>
  <c r="CJ42" i="77"/>
  <c r="AL42" i="77"/>
  <c r="AR42" i="77" s="1"/>
  <c r="BM11" i="77"/>
  <c r="CJ11" i="77"/>
  <c r="BD12" i="77"/>
  <c r="BV17" i="77"/>
  <c r="BD18" i="77"/>
  <c r="CE20" i="77"/>
  <c r="BM22" i="77"/>
  <c r="CJ23" i="77"/>
  <c r="BM32" i="77"/>
  <c r="BD36" i="77"/>
  <c r="CH37" i="77"/>
  <c r="T37" i="77"/>
  <c r="AP37" i="77" s="1"/>
  <c r="CI37" i="77"/>
  <c r="AC37" i="77"/>
  <c r="AQ37" i="77" s="1"/>
  <c r="CH41" i="77"/>
  <c r="T41" i="77"/>
  <c r="AP41" i="77" s="1"/>
  <c r="CI45" i="77"/>
  <c r="AC45" i="77"/>
  <c r="AQ45" i="77" s="1"/>
  <c r="CI49" i="77"/>
  <c r="AC49" i="77"/>
  <c r="AQ49" i="77" s="1"/>
  <c r="BD50" i="77"/>
  <c r="CH29" i="77"/>
  <c r="T29" i="77"/>
  <c r="AP29" i="77" s="1"/>
  <c r="T31" i="77"/>
  <c r="AP31" i="77" s="1"/>
  <c r="CH31" i="77"/>
  <c r="AC31" i="77"/>
  <c r="AQ31" i="77" s="1"/>
  <c r="CI31" i="77"/>
  <c r="CJ29" i="77"/>
  <c r="CG31" i="77"/>
  <c r="CI38" i="77"/>
  <c r="AC38" i="77"/>
  <c r="AQ38" i="77" s="1"/>
  <c r="CI40" i="77"/>
  <c r="AC40" i="77"/>
  <c r="AQ40" i="77" s="1"/>
  <c r="CI43" i="77"/>
  <c r="CJ50" i="77"/>
  <c r="AL50" i="77"/>
  <c r="AR50" i="77" s="1"/>
  <c r="T27" i="77"/>
  <c r="AP27" i="77" s="1"/>
  <c r="CH27" i="77"/>
  <c r="CJ22" i="77"/>
  <c r="AL22" i="77"/>
  <c r="AR22" i="77" s="1"/>
  <c r="BD11" i="77"/>
  <c r="CI14" i="77"/>
  <c r="BM17" i="77"/>
  <c r="AC23" i="77"/>
  <c r="AQ23" i="77" s="1"/>
  <c r="CE24" i="77"/>
  <c r="AL31" i="77"/>
  <c r="AR31" i="77" s="1"/>
  <c r="CJ37" i="77"/>
  <c r="CH45" i="77"/>
  <c r="T45" i="77"/>
  <c r="AP45" i="77" s="1"/>
  <c r="BM49" i="77"/>
  <c r="CH14" i="77"/>
  <c r="T14" i="77"/>
  <c r="AP14" i="77" s="1"/>
  <c r="CJ38" i="77"/>
  <c r="AL38" i="77"/>
  <c r="AR38" i="77" s="1"/>
  <c r="CI42" i="77"/>
  <c r="AC42" i="77"/>
  <c r="AQ42" i="77" s="1"/>
  <c r="CJ46" i="77"/>
  <c r="AL46" i="77"/>
  <c r="AR46" i="77" s="1"/>
  <c r="K27" i="77"/>
  <c r="AO27" i="77" s="1"/>
  <c r="CG27" i="77"/>
  <c r="CK27" i="77" s="1"/>
  <c r="AS27" i="77" s="1"/>
  <c r="T40" i="77"/>
  <c r="AP40" i="77" s="1"/>
  <c r="CH40" i="77"/>
  <c r="CJ43" i="77"/>
  <c r="CE14" i="77"/>
  <c r="BD17" i="77"/>
  <c r="AC27" i="77"/>
  <c r="AQ27" i="77" s="1"/>
  <c r="CJ41" i="77"/>
  <c r="BD45" i="77"/>
  <c r="BD49" i="77"/>
  <c r="BV20" i="77"/>
  <c r="BM24" i="77"/>
  <c r="BD28" i="77"/>
  <c r="BM28" i="77"/>
  <c r="BD32" i="77"/>
  <c r="CE48" i="77"/>
  <c r="BV24" i="77"/>
  <c r="BV28" i="77"/>
  <c r="BM20" i="77"/>
  <c r="BD24" i="77"/>
  <c r="CE44" i="77"/>
  <c r="BV48" i="77"/>
  <c r="BD20" i="77"/>
  <c r="CE40" i="77"/>
  <c r="BV44" i="77"/>
  <c r="BM48" i="77"/>
  <c r="CK37" i="77" l="1"/>
  <c r="AS37" i="77" s="1"/>
  <c r="AC36" i="77"/>
  <c r="AQ36" i="77" s="1"/>
  <c r="CI36" i="77"/>
  <c r="CK15" i="77"/>
  <c r="AS15" i="77" s="1"/>
  <c r="CK34" i="77"/>
  <c r="AS34" i="77" s="1"/>
  <c r="CK35" i="77"/>
  <c r="AS35" i="77" s="1"/>
  <c r="CK33" i="77"/>
  <c r="AS33" i="77" s="1"/>
  <c r="CK29" i="77"/>
  <c r="AS29" i="77" s="1"/>
  <c r="CK13" i="77"/>
  <c r="AS13" i="77" s="1"/>
  <c r="AC32" i="77"/>
  <c r="AQ32" i="77" s="1"/>
  <c r="CI32" i="77"/>
  <c r="CK21" i="77"/>
  <c r="AS21" i="77" s="1"/>
  <c r="CK25" i="77"/>
  <c r="AS25" i="77" s="1"/>
  <c r="CK16" i="77"/>
  <c r="AS16" i="77" s="1"/>
  <c r="CK26" i="77"/>
  <c r="AS26" i="77" s="1"/>
  <c r="T23" i="77"/>
  <c r="AP23" i="77" s="1"/>
  <c r="CK31" i="77"/>
  <c r="AS31" i="77" s="1"/>
  <c r="CG23" i="77"/>
  <c r="CK23" i="77" s="1"/>
  <c r="AS23" i="77" s="1"/>
  <c r="K15" i="77"/>
  <c r="AO15" i="77" s="1"/>
  <c r="CJ14" i="77"/>
  <c r="AL14" i="77"/>
  <c r="AR14" i="77" s="1"/>
  <c r="AC18" i="77"/>
  <c r="AQ18" i="77" s="1"/>
  <c r="CI18" i="77"/>
  <c r="CI44" i="77"/>
  <c r="AC44" i="77"/>
  <c r="AQ44" i="77" s="1"/>
  <c r="CG45" i="77"/>
  <c r="CK45" i="77" s="1"/>
  <c r="AS45" i="77" s="1"/>
  <c r="K45" i="77"/>
  <c r="AO45" i="77" s="1"/>
  <c r="CJ18" i="77"/>
  <c r="AL18" i="77"/>
  <c r="AR18" i="77" s="1"/>
  <c r="CG28" i="77"/>
  <c r="K28" i="77"/>
  <c r="AO28" i="77" s="1"/>
  <c r="T24" i="77"/>
  <c r="AP24" i="77" s="1"/>
  <c r="CH24" i="77"/>
  <c r="AC28" i="77"/>
  <c r="AQ28" i="77" s="1"/>
  <c r="CI28" i="77"/>
  <c r="CG49" i="77"/>
  <c r="CK49" i="77" s="1"/>
  <c r="AS49" i="77" s="1"/>
  <c r="K49" i="77"/>
  <c r="AO49" i="77" s="1"/>
  <c r="CG50" i="77"/>
  <c r="CK50" i="77" s="1"/>
  <c r="AS50" i="77" s="1"/>
  <c r="K50" i="77"/>
  <c r="AO50" i="77" s="1"/>
  <c r="CJ20" i="77"/>
  <c r="AL20" i="77"/>
  <c r="AR20" i="77" s="1"/>
  <c r="CI24" i="77"/>
  <c r="AC24" i="77"/>
  <c r="AQ24" i="77" s="1"/>
  <c r="CG18" i="77"/>
  <c r="K18" i="77"/>
  <c r="AO18" i="77" s="1"/>
  <c r="AL40" i="77"/>
  <c r="AR40" i="77" s="1"/>
  <c r="CJ40" i="77"/>
  <c r="CJ48" i="77"/>
  <c r="AL48" i="77"/>
  <c r="AR48" i="77" s="1"/>
  <c r="T17" i="77"/>
  <c r="AP17" i="77" s="1"/>
  <c r="CH17" i="77"/>
  <c r="CI17" i="77"/>
  <c r="AC17" i="77"/>
  <c r="AQ17" i="77" s="1"/>
  <c r="CG14" i="77"/>
  <c r="CK14" i="77" s="1"/>
  <c r="AS14" i="77" s="1"/>
  <c r="K14" i="77"/>
  <c r="AO14" i="77" s="1"/>
  <c r="CJ44" i="77"/>
  <c r="AL44" i="77"/>
  <c r="AR44" i="77" s="1"/>
  <c r="CI12" i="77"/>
  <c r="AC12" i="77"/>
  <c r="AQ12" i="77" s="1"/>
  <c r="T20" i="77"/>
  <c r="AP20" i="77" s="1"/>
  <c r="CH20" i="77"/>
  <c r="T48" i="77"/>
  <c r="AP48" i="77" s="1"/>
  <c r="CH48" i="77"/>
  <c r="CJ24" i="77"/>
  <c r="AL24" i="77"/>
  <c r="AR24" i="77" s="1"/>
  <c r="CG20" i="77"/>
  <c r="K20" i="77"/>
  <c r="AO20" i="77" s="1"/>
  <c r="CG32" i="77"/>
  <c r="K32" i="77"/>
  <c r="AO32" i="77" s="1"/>
  <c r="CH49" i="77"/>
  <c r="T49" i="77"/>
  <c r="AP49" i="77" s="1"/>
  <c r="CG36" i="77"/>
  <c r="CK36" i="77" s="1"/>
  <c r="AS36" i="77" s="1"/>
  <c r="K36" i="77"/>
  <c r="AO36" i="77" s="1"/>
  <c r="CG12" i="77"/>
  <c r="CK12" i="77" s="1"/>
  <c r="AS12" i="77" s="1"/>
  <c r="K12" i="77"/>
  <c r="AO12" i="77" s="1"/>
  <c r="CH18" i="77"/>
  <c r="T18" i="77"/>
  <c r="AP18" i="77" s="1"/>
  <c r="CH11" i="77"/>
  <c r="T11" i="77"/>
  <c r="AP11" i="77" s="1"/>
  <c r="T12" i="77"/>
  <c r="AP12" i="77" s="1"/>
  <c r="CH12" i="77"/>
  <c r="CG24" i="77"/>
  <c r="CK24" i="77" s="1"/>
  <c r="AS24" i="77" s="1"/>
  <c r="K24" i="77"/>
  <c r="AO24" i="77" s="1"/>
  <c r="AC11" i="77"/>
  <c r="AQ11" i="77" s="1"/>
  <c r="CI11" i="77"/>
  <c r="CI20" i="77"/>
  <c r="AC20" i="77"/>
  <c r="AQ20" i="77" s="1"/>
  <c r="CH22" i="77"/>
  <c r="CK22" i="77" s="1"/>
  <c r="AS22" i="77" s="1"/>
  <c r="T22" i="77"/>
  <c r="AP22" i="77" s="1"/>
  <c r="CI48" i="77"/>
  <c r="AC48" i="77"/>
  <c r="AQ48" i="77" s="1"/>
  <c r="T28" i="77"/>
  <c r="AP28" i="77" s="1"/>
  <c r="CH28" i="77"/>
  <c r="K17" i="77"/>
  <c r="AO17" i="77" s="1"/>
  <c r="CG17" i="77"/>
  <c r="K11" i="77"/>
  <c r="AO11" i="77" s="1"/>
  <c r="CG11" i="77"/>
  <c r="T32" i="77"/>
  <c r="AP32" i="77" s="1"/>
  <c r="CH32" i="77"/>
  <c r="CH50" i="77"/>
  <c r="T50" i="77"/>
  <c r="AP50" i="77" s="1"/>
  <c r="CJ17" i="77"/>
  <c r="AL17" i="77"/>
  <c r="AR17" i="77" s="1"/>
  <c r="CK20" i="77" l="1"/>
  <c r="AS20" i="77" s="1"/>
  <c r="CK11" i="77"/>
  <c r="AS11" i="77" s="1"/>
  <c r="CK17" i="77"/>
  <c r="AS17" i="77" s="1"/>
  <c r="CK28" i="77"/>
  <c r="AS28" i="77" s="1"/>
  <c r="CK32" i="77"/>
  <c r="AS32" i="77" s="1"/>
  <c r="CK18" i="77"/>
  <c r="AS18" i="77" s="1"/>
  <c r="DB12" i="77"/>
  <c r="CZ12" i="77"/>
  <c r="CX12" i="77"/>
  <c r="CV12" i="77"/>
  <c r="DG12" i="77" l="1"/>
  <c r="DD13" i="77" s="1"/>
  <c r="CX13" i="77"/>
  <c r="CZ13" i="77"/>
  <c r="CV13" i="77" l="1"/>
  <c r="DG13" i="77" s="1"/>
  <c r="DB13" i="77"/>
</calcChain>
</file>

<file path=xl/sharedStrings.xml><?xml version="1.0" encoding="utf-8"?>
<sst xmlns="http://schemas.openxmlformats.org/spreadsheetml/2006/main" count="554" uniqueCount="118">
  <si>
    <t>ÁREA</t>
  </si>
  <si>
    <t>N° DE ORDEN</t>
  </si>
  <si>
    <t>APELLIDOS Y NOMBRES</t>
  </si>
  <si>
    <t>GRADO</t>
  </si>
  <si>
    <t>SECCIÓN</t>
  </si>
  <si>
    <t>RESUMEN</t>
  </si>
  <si>
    <t>A</t>
  </si>
  <si>
    <t>IEP</t>
  </si>
  <si>
    <t>DOCENTE</t>
  </si>
  <si>
    <t>AD</t>
  </si>
  <si>
    <t>B</t>
  </si>
  <si>
    <t>C</t>
  </si>
  <si>
    <t>NIVEL DE LOGRO</t>
  </si>
  <si>
    <t>No evaluados</t>
  </si>
  <si>
    <t>TOTAL</t>
  </si>
  <si>
    <t>AGROPECUARIO 110 - YURIMAGUAS</t>
  </si>
  <si>
    <t>TRIMESTRE</t>
  </si>
  <si>
    <t>PRIMERO</t>
  </si>
  <si>
    <t>Se comunica oralmente en su lengua materna.</t>
  </si>
  <si>
    <t>Lee diversos tipos de textos escritos en lengua materna.</t>
  </si>
  <si>
    <t>Escribe diversos tipos de textos en lengua materna.</t>
  </si>
  <si>
    <t>Construye su identidad.</t>
  </si>
  <si>
    <t>Convive y participa democráticamente en la búsqueda del bien común.</t>
  </si>
  <si>
    <t>OBSERVACIONES</t>
  </si>
  <si>
    <t>DESARROLLO PERSONAL, CIUDADANÍA Y CÍVICA</t>
  </si>
  <si>
    <t>E</t>
  </si>
  <si>
    <t>SEGUNDO</t>
  </si>
  <si>
    <t>MATEMÁTICA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</si>
  <si>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</si>
  <si>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</si>
  <si>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CIENCIA Y TECNOLOGÍA</t>
  </si>
  <si>
    <t>Gestiona responsablemente los recursos económicos.</t>
  </si>
  <si>
    <t>CIENCIAS SOCIALES</t>
  </si>
  <si>
    <t>Asume la experiencia del encuentro personal y comunitario con Dios en su proyecto de vida en coherencia con su creencia religiosa.</t>
  </si>
  <si>
    <t>Construye su identidad como persona humana, amada por Dios, digna, libre y trascendente, comprendiendo la doctrina de su propia religión, abierto al diálogo con las que le son cercanas.</t>
  </si>
  <si>
    <t>EDUCACIÓN RELIGIOSA</t>
  </si>
  <si>
    <t>Se comunica oralmente en inglés como lengua extranjera.</t>
  </si>
  <si>
    <t>TERCERO</t>
  </si>
  <si>
    <t>INGLÉS</t>
  </si>
  <si>
    <t>Crea proyectos desde los lenguajes artísticos.</t>
  </si>
  <si>
    <t>Aprecia de manera crítica manifestaciones artístico-culturales.</t>
  </si>
  <si>
    <t>ARTE Y CULTURA</t>
  </si>
  <si>
    <t>Asume una vida saludable.</t>
  </si>
  <si>
    <t>Se desenvuelve de manera autónoma a través de su motricidad.</t>
  </si>
  <si>
    <t>CUARTO</t>
  </si>
  <si>
    <t>EDUCACIÓN FÍSICA</t>
  </si>
  <si>
    <t>QUINTO</t>
  </si>
  <si>
    <t>Gestiona proyectos de emprendimiento económico o social.</t>
  </si>
  <si>
    <t>EDUCACIÓN POR EL TRABAJO</t>
  </si>
  <si>
    <t>AREA</t>
  </si>
  <si>
    <t>COMPETENCIA</t>
  </si>
  <si>
    <t>COMUNICACIÓN</t>
  </si>
  <si>
    <t xml:space="preserve"> - -</t>
  </si>
  <si>
    <t>Resuelve problemas de cantidad.</t>
  </si>
  <si>
    <t>Resuelve problemas de regularidad, equivalencia y cambio.</t>
  </si>
  <si>
    <t>Resuelve problemas de forma, movimiento y localización.</t>
  </si>
  <si>
    <t>Resuelve problemas de gestión de datos e incertidumbre.</t>
  </si>
  <si>
    <t>Construye interpretaciones históricas.</t>
  </si>
  <si>
    <t>Gestiona responsablemente el espacio y el ambiente.</t>
  </si>
  <si>
    <t>Indaga mediante métodos científicos para construir conocimientos.</t>
  </si>
  <si>
    <t>Lee diversos tipos de textos escritos en inglés como lengua extranjera.</t>
  </si>
  <si>
    <t>Escribe diversos tipos de textos en inglés como lengua extranjera.</t>
  </si>
  <si>
    <t>Interactúa a través de sus habilidades sociomotrices</t>
  </si>
  <si>
    <t>SE DESENVUELVE EN ENTORNOS
VIRTUALES GENERADOS POR LAS TIC</t>
  </si>
  <si>
    <t>GESTIONA SU APRENDIZAJE DE
MANERA AUTÓNOMA</t>
  </si>
  <si>
    <t>D</t>
  </si>
  <si>
    <t>RESUMEN TRIMESTRAL</t>
  </si>
  <si>
    <t>CONCLUSION DESCRIPTIVA</t>
  </si>
  <si>
    <t>COMPT 1</t>
  </si>
  <si>
    <t>COMPT 2</t>
  </si>
  <si>
    <t>COMPT 3</t>
  </si>
  <si>
    <t>COMPT 4</t>
  </si>
  <si>
    <t>COMPETENCIAS TRANSVERSALES</t>
  </si>
  <si>
    <t xml:space="preserve"> CRITERIOS DE EVALUACIÓN </t>
  </si>
  <si>
    <t xml:space="preserve"> COMPETENCIAS</t>
  </si>
  <si>
    <t>REGISTRO AUXILIAR DE EVALUACIÓN 2025 - SECUNDARIA</t>
  </si>
  <si>
    <t>I</t>
  </si>
  <si>
    <t>AGURTO JIMENEZ, JORGE BERNABE</t>
  </si>
  <si>
    <t>AMASIFEN HUANSI, DILCIA BELKI</t>
  </si>
  <si>
    <t>CALLE RAMOS, EDINSON ENOC</t>
  </si>
  <si>
    <t>DAVILA NAVARRO, MAILY NICOL</t>
  </si>
  <si>
    <t>GONZALEZ PINEDO, FELIX ÁNDREY</t>
  </si>
  <si>
    <t>GONZALEZ PINEDO, NOBEL ANTHONY</t>
  </si>
  <si>
    <t>HURTADO LOMAS, KARLA YESENIA</t>
  </si>
  <si>
    <t>LANCHA PIZANGO, KETTY SUSAN</t>
  </si>
  <si>
    <t>RIOS ROJAS, RUTH</t>
  </si>
  <si>
    <t>SALAZAR VILCA, MARINA</t>
  </si>
  <si>
    <t>JULIO CESAR MARTEL VASQUEZ</t>
  </si>
  <si>
    <t>TRABAJOS</t>
  </si>
  <si>
    <t>EXAMENES</t>
  </si>
  <si>
    <t>PARTICIPACION</t>
  </si>
  <si>
    <t>EXPOSICION</t>
  </si>
  <si>
    <t>Logra realizar indagaciones importantes que le permiten la construcción de sus conocimientos</t>
  </si>
  <si>
    <t>Presenta dificultades para realizar indagaciones y lograr la construcción de sus conocimientos</t>
  </si>
  <si>
    <t>No logra realizar indagaciones y lograr la construcción de sus conocimientos</t>
  </si>
  <si>
    <t>Logra dar explicaciones importantes sobre conocimientos del mundo físico, seres vivos y el universo.</t>
  </si>
  <si>
    <t>Tiene dificultades para explicar  conocimientos sobre el mundo físico, los seres vivos y el universo.</t>
  </si>
  <si>
    <t>No logra explicar  conocimientos sobre el mundo físico, los seres vivos y el universo.</t>
  </si>
  <si>
    <t>Logra diseñar y construir tecnologías básicas que le permiten resolver problemas de su entorno</t>
  </si>
  <si>
    <t>Tiene dificultades para diseñar y construir tecnologia que le permitan resolver problemas de su entorno</t>
  </si>
  <si>
    <t>No logra diseñar y construir tecnologia que le permitan resolver problemas de su entorno</t>
  </si>
  <si>
    <t>CAHUAZA YAICATE, MARCELO</t>
  </si>
  <si>
    <t>CALAMPA CAREAJANO, ROY ANGEL</t>
  </si>
  <si>
    <t>GARCIA URQUIA, LUIS ANDRES</t>
  </si>
  <si>
    <t>IJUMA SHUPINGAHUA, KARLA BRICEIDA</t>
  </si>
  <si>
    <t>LANCHA RIOS, CHERLITA</t>
  </si>
  <si>
    <t>MEGO TORRES, MILY MIREYA</t>
  </si>
  <si>
    <t>MOZOMBITE PIZANGO, IKAMY ZOLANSH</t>
  </si>
  <si>
    <t>OJANAMA NOTENO, NICOLE</t>
  </si>
  <si>
    <t>PEZO YUMBATO, LUZ CLARITA</t>
  </si>
  <si>
    <t>PILCO VALERA, LIZ ESTHER</t>
  </si>
  <si>
    <t>PISCO LOZANO, LIZ MARIANA</t>
  </si>
  <si>
    <t>RIOS TANGOA, SHARELIN JAILI</t>
  </si>
  <si>
    <t>SUAREZ CASTILLO, JEISON LEANDRO</t>
  </si>
  <si>
    <t>SUAREZ CORDOVA, GELEN</t>
  </si>
  <si>
    <t>TAPAYURI ACUBINO, STEVEN RICARDO</t>
  </si>
  <si>
    <t>TUESTA MONTES, TOMMY ROY</t>
  </si>
  <si>
    <t>VARGAS TORRES, LUCIANA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</si>
</sst>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b/>
      <sz val="16"/>
      <color theme="1"/>
      <name val="Arial Black"/>
      <family val="2"/>
    </font>
    <font>
      <b/>
      <sz val="26"/>
      <color theme="1"/>
      <name val="Bodoni MT Black"/>
      <family val="1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8"/>
      <color theme="1"/>
      <name val="Arial Narrow"/>
      <family val="2"/>
    </font>
    <font>
      <b/>
      <sz val="36"/>
      <color theme="1"/>
      <name val="Bodoni MT Black"/>
      <family val="1"/>
    </font>
    <font>
      <b/>
      <sz val="14"/>
      <color theme="1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Verdana"/>
      <family val="2"/>
    </font>
    <font>
      <b/>
      <sz val="18"/>
      <color theme="1"/>
      <name val="Arial Black"/>
      <family val="2"/>
    </font>
    <font>
      <b/>
      <sz val="12"/>
      <color theme="1"/>
      <name val="Tahoma"/>
      <family val="2"/>
    </font>
    <font>
      <b/>
      <sz val="14"/>
      <color theme="0"/>
      <name val="Verdana"/>
      <family val="2"/>
    </font>
    <font>
      <b/>
      <sz val="20"/>
      <color theme="1"/>
      <name val="Arial Black"/>
      <family val="2"/>
    </font>
    <font>
      <sz val="11"/>
      <color theme="1"/>
      <name val="Trebuchet MS"/>
      <family val="2"/>
    </font>
    <font>
      <b/>
      <sz val="16"/>
      <color theme="1"/>
      <name val="Verdana"/>
      <family val="2"/>
    </font>
    <font>
      <sz val="20"/>
      <color theme="1"/>
      <name val="Trebuchet MS"/>
      <family val="2"/>
    </font>
    <font>
      <sz val="18"/>
      <color theme="1"/>
      <name val="Arial Black"/>
      <family val="2"/>
    </font>
    <font>
      <b/>
      <sz val="20"/>
      <color theme="1"/>
      <name val="Arial Narrow"/>
      <family val="2"/>
    </font>
    <font>
      <b/>
      <sz val="22"/>
      <color theme="1"/>
      <name val="Agency FB"/>
      <family val="2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Bookman Old Style"/>
      <family val="1"/>
    </font>
    <font>
      <b/>
      <sz val="18"/>
      <color theme="1"/>
      <name val="Trebuchet MS"/>
      <family val="2"/>
    </font>
    <font>
      <sz val="24"/>
      <color theme="1"/>
      <name val="Arial Black"/>
      <family val="2"/>
    </font>
    <font>
      <b/>
      <sz val="11"/>
      <color theme="1"/>
      <name val="Trebuchet MS"/>
      <family val="2"/>
    </font>
    <font>
      <b/>
      <sz val="16"/>
      <color theme="1"/>
      <name val="Arial Narrow"/>
      <family val="2"/>
    </font>
    <font>
      <b/>
      <sz val="20"/>
      <color theme="1"/>
      <name val="Trebuchet MS"/>
      <family val="2"/>
    </font>
    <font>
      <sz val="10"/>
      <color theme="1"/>
      <name val="Times New Roman"/>
      <family val="1"/>
    </font>
    <font>
      <sz val="14"/>
      <name val="Comic Sans MS"/>
      <family val="4"/>
    </font>
    <font>
      <sz val="14"/>
      <color theme="1"/>
      <name val="Comic Sans MS"/>
      <family val="4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Protection="1"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8" borderId="28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textRotation="90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1" borderId="18" xfId="0" applyFont="1" applyFill="1" applyBorder="1" applyAlignment="1">
      <alignment vertical="center"/>
    </xf>
    <xf numFmtId="0" fontId="27" fillId="0" borderId="0" xfId="0" applyFont="1" applyAlignment="1" applyProtection="1">
      <alignment horizontal="center" vertical="center"/>
      <protection locked="0"/>
    </xf>
    <xf numFmtId="0" fontId="25" fillId="11" borderId="3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2" xfId="0" applyFont="1" applyBorder="1" applyAlignment="1" applyProtection="1">
      <alignment horizontal="center"/>
      <protection locked="0"/>
    </xf>
    <xf numFmtId="0" fontId="7" fillId="11" borderId="17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1" borderId="13" xfId="0" applyFont="1" applyFill="1" applyBorder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textRotation="90" wrapText="1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33" fillId="10" borderId="48" xfId="0" applyFont="1" applyFill="1" applyBorder="1" applyAlignment="1">
      <alignment horizontal="left" vertical="center" wrapText="1"/>
    </xf>
    <xf numFmtId="0" fontId="33" fillId="10" borderId="19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/>
    </xf>
    <xf numFmtId="0" fontId="33" fillId="10" borderId="2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23" fillId="0" borderId="37" xfId="0" applyFont="1" applyBorder="1" applyAlignment="1" applyProtection="1">
      <alignment horizontal="center" vertical="center" textRotation="90"/>
      <protection locked="0"/>
    </xf>
    <xf numFmtId="0" fontId="23" fillId="0" borderId="38" xfId="0" applyFont="1" applyBorder="1" applyAlignment="1" applyProtection="1">
      <alignment horizontal="center" vertical="center" textRotation="90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9" fontId="14" fillId="0" borderId="28" xfId="2" applyFont="1" applyBorder="1" applyAlignment="1" applyProtection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1" fillId="9" borderId="46" xfId="0" applyFont="1" applyFill="1" applyBorder="1" applyAlignment="1">
      <alignment horizontal="center" vertical="center" textRotation="90" wrapText="1"/>
    </xf>
    <xf numFmtId="0" fontId="31" fillId="9" borderId="45" xfId="0" applyFont="1" applyFill="1" applyBorder="1" applyAlignment="1">
      <alignment horizontal="center" vertical="center" textRotation="90" wrapText="1"/>
    </xf>
    <xf numFmtId="0" fontId="16" fillId="7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8" xfId="0" applyFont="1" applyFill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6" xfId="0" applyFont="1" applyFill="1" applyBorder="1" applyAlignment="1" applyProtection="1">
      <alignment horizontal="center"/>
      <protection locked="0"/>
    </xf>
    <xf numFmtId="0" fontId="1" fillId="11" borderId="11" xfId="0" applyFont="1" applyFill="1" applyBorder="1" applyAlignment="1" applyProtection="1">
      <alignment horizontal="center"/>
      <protection locked="0"/>
    </xf>
    <xf numFmtId="0" fontId="1" fillId="11" borderId="12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 applyAlignment="1" applyProtection="1">
      <alignment horizontal="center"/>
      <protection locked="0"/>
    </xf>
    <xf numFmtId="0" fontId="1" fillId="11" borderId="16" xfId="0" applyFont="1" applyFill="1" applyBorder="1" applyAlignment="1" applyProtection="1">
      <alignment horizontal="center"/>
      <protection locked="0"/>
    </xf>
    <xf numFmtId="0" fontId="11" fillId="11" borderId="2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18" fillId="11" borderId="13" xfId="0" applyFont="1" applyFill="1" applyBorder="1" applyAlignment="1" applyProtection="1">
      <alignment horizontal="center" vertical="center" textRotation="90"/>
      <protection locked="0"/>
    </xf>
    <xf numFmtId="0" fontId="18" fillId="11" borderId="17" xfId="0" applyFont="1" applyFill="1" applyBorder="1" applyAlignment="1" applyProtection="1">
      <alignment horizontal="center" vertical="center" textRotation="90"/>
      <protection locked="0"/>
    </xf>
    <xf numFmtId="0" fontId="18" fillId="11" borderId="18" xfId="0" applyFont="1" applyFill="1" applyBorder="1" applyAlignment="1" applyProtection="1">
      <alignment horizontal="center" vertical="center" textRotation="90"/>
      <protection locked="0"/>
    </xf>
    <xf numFmtId="0" fontId="26" fillId="11" borderId="9" xfId="0" applyFont="1" applyFill="1" applyBorder="1" applyAlignment="1" applyProtection="1">
      <alignment horizontal="center" vertical="center" wrapText="1"/>
      <protection locked="0"/>
    </xf>
    <xf numFmtId="0" fontId="26" fillId="11" borderId="11" xfId="0" applyFont="1" applyFill="1" applyBorder="1" applyAlignment="1" applyProtection="1">
      <alignment horizontal="center" vertical="center" wrapText="1"/>
      <protection locked="0"/>
    </xf>
    <xf numFmtId="0" fontId="26" fillId="11" borderId="14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 applyProtection="1">
      <alignment horizontal="center" vertical="center"/>
      <protection locked="0"/>
    </xf>
    <xf numFmtId="0" fontId="29" fillId="11" borderId="3" xfId="0" applyFont="1" applyFill="1" applyBorder="1" applyAlignment="1" applyProtection="1">
      <alignment horizontal="center" vertical="center"/>
      <protection locked="0"/>
    </xf>
    <xf numFmtId="0" fontId="29" fillId="11" borderId="4" xfId="0" applyFont="1" applyFill="1" applyBorder="1" applyAlignment="1" applyProtection="1">
      <alignment horizontal="center" vertical="center"/>
      <protection locked="0"/>
    </xf>
    <xf numFmtId="0" fontId="26" fillId="11" borderId="9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 applyProtection="1">
      <alignment horizontal="center" vertical="center" wrapText="1"/>
      <protection locked="0"/>
    </xf>
    <xf numFmtId="0" fontId="22" fillId="11" borderId="9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32" fillId="11" borderId="2" xfId="0" applyFont="1" applyFill="1" applyBorder="1" applyAlignment="1" applyProtection="1">
      <alignment horizontal="center" vertical="center" wrapText="1"/>
      <protection locked="0"/>
    </xf>
    <xf numFmtId="0" fontId="32" fillId="11" borderId="3" xfId="0" applyFont="1" applyFill="1" applyBorder="1" applyAlignment="1" applyProtection="1">
      <alignment horizontal="center" vertical="center" wrapText="1"/>
      <protection locked="0"/>
    </xf>
    <xf numFmtId="0" fontId="32" fillId="11" borderId="4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ECE147A5-159F-48E0-A324-D9C9EF6C967B}"/>
    <cellStyle name="Porcentaje" xfId="2" builtinId="5"/>
  </cellStyles>
  <dxfs count="9"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66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67E-BA74-48DBAD43A9BF}"/>
            </c:ext>
          </c:extLst>
        </c:ser>
        <c:ser>
          <c:idx val="1"/>
          <c:order val="1"/>
          <c:tx>
            <c:strRef>
              <c:f>'3°A'!$CX$11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67E-BA74-48DBAD43A9BF}"/>
            </c:ext>
          </c:extLst>
        </c:ser>
        <c:ser>
          <c:idx val="2"/>
          <c:order val="2"/>
          <c:tx>
            <c:strRef>
              <c:f>'3°A'!$CZ$11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3-467E-BA74-48DBAD43A9BF}"/>
            </c:ext>
          </c:extLst>
        </c:ser>
        <c:ser>
          <c:idx val="3"/>
          <c:order val="3"/>
          <c:tx>
            <c:strRef>
              <c:f>'3°A'!$DB$11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3-467E-BA74-48DBAD43A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PE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8D477-9F2C-4838-9E24-84682679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46</xdr:col>
      <xdr:colOff>728529</xdr:colOff>
      <xdr:row>0</xdr:row>
      <xdr:rowOff>0</xdr:rowOff>
    </xdr:from>
    <xdr:ext cx="1723121" cy="1513252"/>
    <xdr:pic>
      <xdr:nvPicPr>
        <xdr:cNvPr id="3" name="Imagen 2">
          <a:extLst>
            <a:ext uri="{FF2B5EF4-FFF2-40B4-BE49-F238E27FC236}">
              <a16:creationId xmlns:a16="http://schemas.microsoft.com/office/drawing/2014/main" id="{E8B68777-227E-4471-99AC-FFADE9D7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1329" y="0"/>
          <a:ext cx="1723121" cy="15132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C4EB14-53EC-4FE7-A2F9-FDB4793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79B3D9-5BEE-4AD7-9C58-F55B11091496}"><dimension ref="A1:EQ111"/><sheetViews><sheetView tabSelected="1" view="pageBreakPreview" zoomScale="20" zoomScaleNormal="50" zoomScaleSheetLayoutView="20" workbookViewId="0"><selection activeCell="D10" sqref="D10:G10"/></sheetView></sheetViews><sheetFormatPr baseColWidth="10" defaultColWidth="5.6640625" defaultRowHeight="18" x14ac:dyDescent="0.3"/><cols><col min="1" max="1" width="7.44140625" style="1" customWidth="1"/><col min="2" max="2" width="71.33203125" style="1" customWidth="1"/><col min="3" max="3" width="1.109375" style="1" customWidth="1"/><col min="4" max="10" width="8.6640625" style="1" customWidth="1"/><col min="11" max="11" width="10.6640625" style="1" customWidth="1"/><col min="12" max="12" width="50.6640625" style="1" customWidth="1"/><col min="13" max="19" width="8.6640625" style="1" customWidth="1"/><col min="20" max="20" width="10.6640625" style="1" customWidth="1"/><col min="21" max="21" width="50.6640625" style="1" customWidth="1"/><col min="22" max="28" width="8.6640625" style="1" customWidth="1"/><col min="29" max="29" width="10.6640625" style="1" customWidth="1"/><col min="30" max="30" width="50.6640625" style="1" customWidth="1"/><col min="31" max="37" width="8.6640625" style="1" customWidth="1"/><col min="38" max="38" width="10.6640625" style="1" customWidth="1"/><col min="39" max="39" width="50.6640625" style="1" customWidth="1"/><col min="40" max="40" width="8.109375" style="1" customWidth="1"/><col min="41" max="44" width="10.6640625" style="1" customWidth="1"/><col min="45" max="45" width="14.88671875" style="1" hidden="1" customWidth="1"/><col min="46" max="46" width="1.109375" style="1" customWidth="1"/><col min="47" max="47" width="46.44140625" style="1" customWidth="1"/><col min="48" max="48" width="5.6640625" style="1" hidden="1" customWidth="1"/><col min="49" max="55" width="5.6640625" style="3" hidden="1" customWidth="1"/><col min="56" max="56" width="7.6640625" style="3" hidden="1" customWidth="1"/><col min="57" max="64" width="5.6640625" style="3" hidden="1" customWidth="1"/><col min="65" max="65" width="7.6640625" style="3" hidden="1" customWidth="1"/><col min="66" max="73" width="5.6640625" style="3" hidden="1" customWidth="1"/><col min="74" max="74" width="7.6640625" style="3" hidden="1" customWidth="1"/><col min="75" max="82" width="5.6640625" style="3" hidden="1" customWidth="1"/><col min="83" max="83" width="7.6640625" style="3" hidden="1" customWidth="1"/><col min="84" max="88" width="5.6640625" style="3" hidden="1" customWidth="1"/><col min="89" max="89" width="9.6640625" style="3" hidden="1" customWidth="1"/><col min="90" max="91" width="5.6640625" style="3" hidden="1" customWidth="1"/><col min="92" max="98" width="5.6640625" style="3" customWidth="1"/><col min="99" max="99" width="44.109375" style="3" customWidth="1"/><col min="100" max="103" width="5.6640625" style="3" customWidth="1"/><col min="104" max="115" width="5.6640625" style="3"/><col min="116" max="122" width="14.5546875" style="3" customWidth="1"/><col min="123" max="123" width="5.6640625" style="3"/><col min="124" max="125" width="5.6640625" style="3" hidden="1" customWidth="1"/><col min="126" max="126" width="15.33203125" style="3" hidden="1" customWidth="1"/><col min="127" max="130" width="54.6640625" style="3" hidden="1" customWidth="1"/><col min="131" max="147" width="5.6640625" style="1" hidden="1" customWidth="1"/><col min="148" max="181" width="0" style="1" hidden="1" customWidth="1"/><col min="182" max="16384" width="5.6640625" style="1"/></cols><sheetData><row r="1" spans="1:128" ht="41.25" customHeight="1" thickBot="1" x14ac:dyDescent="0.35"><c r="A1" s="111"/><c r="B1" s="112"/><c r="C1" s="51"/><c r="D1" s="117" t="s">><is><t>REGISTRO AUXILIAR DE EVALUACIÓN 2026 - SECUNDARIA</t></is></c><c r="E1" s="118"/><c r="F1" s="118"/><c r="G1" s="118"/><c r="H1" s="118"/><c r="I1" s="118"/><c r="J1" s="118"/><c r="K1" s="118"/><c r="L1" s="118"/><c r="M1" s="118"/><c r="N1" s="118"/><c r="O1" s="118"/><c r="P1" s="118"/><c r="Q1" s="118"/><c r="R1" s="118"/><c r="S1" s="118"/><c r="T1" s="118"/><c r="U1" s="118"/><c r="V1" s="118"/><c r="W1" s="118"/><c r="X1" s="118"/><c r="Y1" s="118"/><c r="Z1" s="118"/><c r="AA1" s="118"/><c r="AB1" s="118"/><c r="AC1" s="118"/><c r="AD1" s="118"/><c r="AE1" s="118"/><c r="AF1" s="118"/><c r="AG1" s="118"/><c r="AH1" s="118"/><c r="AI1" s="118"/><c r="AJ1" s="118"/><c r="AK1" s="118"/><c r="AL1" s="118"/><c r="AM1" s="118"/><c r="AN1" s="118"/><c r="AO1" s="118"/><c r="AP1" s="118"/><c r="AQ1" s="118"/><c r="AR1" s="118"/><c r="AS1" s="119"/><c r="AT1" s="53"/><c r="AU1" s="52"/><c r="AV1" s="31"/><c r="AW1" s="26"/><c r="AX1" s="26"/><c r="AY1" s="26"/><c r="AZ1" s="26"/><c r="BA1" s="26"/><c r="BB1" s="26"/><c r="BC1" s="26"/><c r="BD1" s="26"/><c r="BE1" s="26"/><c r="BF1" s="26"/><c r="BG1" s="26"/><c r="BH1" s="26"/><c r="BI1" s="26"/><c r="BJ1" s="26"/><c r="BK1" s="26"/><c r="BL1" s="26"/><c r="BM1" s="26"/><c r="BN1" s="26"/><c r="BO1" s="26"/><c r="BP1" s="26"/><c r="BQ1" s="26"/><c r="BR1" s="26"/><c r="BS1" s="26"/><c r="BT1" s="26"/><c r="BU1" s="26"/><c r="BV1" s="26"/><c r="BW1" s="26"/><c r="BX1" s="26"/><c r="BY1" s="26"/><c r="BZ1" s="26"/><c r="CA1" s="26"/><c r="CB1" s="26"/><c r="CC1" s="26"/><c r="CD1" s="26"/><c r="CE1" s="26"/><c r="CF1" s="26"/><c r="CG1" s="26"/><c r="CH1" s="26"/><c r="CI1" s="26"/><c r="CJ1" s="26"/><c r="CK1" s="26"/><c r="CL1" s="26"/><c r="CM1" s="26"/><c r="CN1" s="26"/><c r="CO1" s="26"/><c r="CP1" s="26"/><c r="CQ1" s="26"/><c r="CR1" s="26"/><c r="CS1" s="26"/></row><row r="2" spans="1:128" ht="6.45" customHeight="1" thickBot="1" x14ac:dyDescent="0.35"><c r="A2" s="113"/><c r="B2" s="114"/><c r="C2" s="51"/><c r="D2" s="50"/><c r="E2" s="50"/><c r="F2" s="50"/><c r="G2" s="50"/><c r="H2" s="50"/><c r="I2" s="50"/><c r="J2" s="50"/><c r="K2" s="50"/><c r="L2" s="50"/><c r="M2" s="50"/><c r="N2" s="50"/><c r="O2" s="50"/><c r="P2" s="50"/><c r="Q2" s="50"/><c r="R2" s="50"/><c r="S2" s="50"/><c r="T2" s="50"/><c r="U2" s="50"/><c r="V2" s="50"/><c r="W2" s="50"/><c r="X2" s="50"/><c r="Y2" s="50"/><c r="Z2" s="50"/><c r="AA2" s="50"/><c r="AB2" s="50"/><c r="AC2" s="50"/><c r="AD2" s="50"/><c r="AE2" s="50"/><c r="AF2" s="50"/><c r="AG2" s="50"/><c r="AH2" s="50"/><c r="AI2" s="50"/><c r="AJ2" s="50"/><c r="AK2" s="50"/><c r="AL2" s="50"/><c r="AM2" s="50"/><c r="AN2" s="49"/><c r="AO2" s="42"/><c r="AP2" s="42"/><c r="AQ2" s="42"/><c r="AR2" s="42"/><c r="AS2" s="42"/><c r="AT2" s="42"/><c r="AU2" s="48"/><c r="AV2" s="31"/><c r="AW2" s="26"/><c r="AX2" s="26"/><c r="AY2" s="26"/><c r="AZ2" s="26"/><c r="BA2" s="26"/><c r="BB2" s="26"/><c r="BC2" s="26"/><c r="BD2" s="26"/><c r="BE2" s="26"/><c r="BF2" s="26"/><c r="BG2" s="26"/><c r="BH2" s="26"/><c r="BI2" s="26"/><c r="BJ2" s="26"/><c r="BK2" s="26"/><c r="BL2" s="26"/><c r="BM2" s="26"/><c r="BN2" s="26"/><c r="BO2" s="26"/><c r="BP2" s="26"/><c r="BQ2" s="26"/><c r="BR2" s="26"/><c r="BS2" s="26"/><c r="BT2" s="26"/><c r="BU2" s="26"/><c r="BV2" s="26"/><c r="BW2" s="26"/><c r="BX2" s="26"/><c r="BY2" s="26"/><c r="BZ2" s="26"/><c r="CA2" s="26"/><c r="CB2" s="26"/><c r="CC2" s="26"/><c r="CD2" s="26"/><c r="CE2" s="26"/><c r="CF2" s="26"/><c r="CG2" s="26"/><c r="CH2" s="26"/><c r="CI2" s="26"/><c r="CJ2" s="26"/><c r="CK2" s="26"/><c r="CL2" s="26"/><c r="CM2" s="26"/><c r="CN2" s="26"/><c r="CO2" s="26"/><c r="CP2" s="26"/><c r="CQ2" s="26"/><c r="CR2" s="26"/><c r="CS2" s="26"/></row><row r="3" spans="1:128" ht="24.9" customHeight="1" thickBot="1" x14ac:dyDescent="0.35"><c r="A3" s="113"/><c r="B3" s="114"/><c r="C3" s="47"/><c r="D3" s="120" t="s"><v>7</v></c><c r="E3" s="121"/><c r="F3" s="121"/><c r="G3" s="121"/><c r="H3" s="121"/><c r="I3" s="121"/><c r="J3" s="121"/><c r="K3" s="121"/><c r="L3" s="45"/><c r="M3" s="122"><is><t>AGROPECUARIO 110 - YURIMAGUAS</t></is></c><c r="N3" s="123"/><c r="O3" s="123"/><c r="P3" s="123"/><c r="Q3" s="123"/><c r="R3" s="123"/><c r="S3" s="123"/><c r="T3" s="123"/><c r="U3" s="123"/><c r="V3" s="123"/><c r="W3" s="124"/><c r="X3" s="46"/><c r="Y3" s="120" t="s">><is><t>BIMESTRE</t></is></c><c r="Z3" s="121"/><c r="AA3" s="121"/><c r="AB3" s="121"/><c r="AC3" s="121"/><c r="AD3" s="121"/><c r="AE3" s="121"/><c r="AF3" s="121"/><c r="AG3" s="125"/><c r="AH3" s="126"><is><t>BIMESTRE 3</t></is></c><c r="AI3" s="127"/><c r="AJ3" s="127"/><c r="AK3" s="127"/><c r="AL3" s="127"/><c r="AM3" s="127"/><c r="AN3" s="127"/><c r="AO3" s="127"/><c r="AP3" s="127"/><c r="AQ3" s="127"/><c r="AR3" s="127"/><c r="AS3" s="128"/><c r="AT3" s="44"/><c r="AU3" s="48"/><c r="AV3" s="31"/><c r="AW3" s="26"/><c r="AX3" s="26"/><c r="AY3" s="26"/><c r="AZ3" s="26"/><c r="BA3" s="26"/><c r="BB3" s="26"/><c r="BC3" s="26"/><c r="BD3" s="26"/><c r="BE3" s="26"/><c r="BF3" s="26"/><c r="BG3" s="26"/><c r="BH3" s="26"/><c r="BI3" s="26"/><c r="BJ3" s="26"/><c r="BK3" s="26"/><c r="BL3" s="26"/><c r="BM3" s="26"/><c r="BN3" s="26"/><c r="BO3" s="26"/><c r="BP3" s="26"/><c r="BQ3" s="26"/><c r="BR3" s="26"/><c r="BS3" s="26"/><c r="BT3" s="26"/><c r="BU3" s="26"/><c r="BV3" s="26"/><c r="BW3" s="26"/><c r="BX3" s="26"/><c r="BY3" s="26"/><c r="BZ3" s="26"/><c r="CA3" s="26"/><c r="CB3" s="26"/><c r="CC3" s="26"/><c r="CD3" s="26"/><c r="CE3" s="26"/><c r="CF3" s="26"/><c r="CG3" s="26"/><c r="CH3" s="26"/><c r="CI3" s="26"/><c r="CJ3" s="26"/><c r="CK3" s="26"/><c r="CL3" s="26"/><c r="CM3" s="26"/><c r="CN3" s="26"/><c r="CO3" s="26"/><c r="CP3" s="26"/><c r="CQ3" s="26"/><c r="CR3" s="26"/><c r="CS3" s="26"/></row><row r="4" spans="1:128" ht="24.9" customHeight="1" thickBot="1" x14ac:dyDescent="0.35"><c r="A4" s="113"/><c r="B4" s="114"/><c r="C4" s="47"/><c r="D4" s="120" t="s"><v>0</v></c><c r="E4" s="121"/><c r="F4" s="121"/><c r="G4" s="121"/><c r="H4" s="121"/><c r="I4" s="121"/><c r="J4" s="121"/><c r="K4" s="121"/><c r="L4" s="45"/><c r="M4" s="122"><is><t>MATEMÁTICA</t></is></c><c r="N4" s="123"/><c r="O4" s="123"/><c r="P4" s="123"/><c r="Q4" s="123"/><c r="R4" s="123"/><c r="S4" s="123"/><c r="T4" s="123"/><c r="U4" s="123"/><c r="V4" s="123"/><c r="W4" s="124"/><c r="X4" s="46"/><c r="Y4" s="120" t="s"><v>3</v></c><c r="Z4" s="121"/><c r="AA4" s="121"/><c r="AB4" s="121"/><c r="AC4" s="121"/><c r="AD4" s="121"/><c r="AE4" s="121"/><c r="AF4" s="121"/><c r="AG4" s="125"/><c r="AH4" s="126"><is><t>1° GRADO</t></is></c><c r="AI4" s="127"/><c r="AJ4" s="127"/><c r="AK4" s="127"/><c r="AL4" s="127"/><c r="AM4" s="127"/><c r="AN4" s="127"/><c r="AO4" s="127"/><c r="AP4" s="127"/><c r="AQ4" s="127"/><c r="AR4" s="127"/><c r="AS4" s="128"/><c r="AT4" s="44"/><c r="AU4" s="48"/><c r="AV4" s="31"/><c r="AW4" s="26"/><c r="AX4" s="26"/><c r="AY4" s="26"/><c r="AZ4" s="26"/><c r="BA4" s="26"/><c r="BB4" s="26"/><c r="BC4" s="26"/><c r="BD4" s="26"/><c r="BE4" s="26"/><c r="BF4" s="26"/><c r="BG4" s="26"/><c r="BH4" s="26"/><c r="BI4" s="26"/><c r="BJ4" s="26"/><c r="BK4" s="26"/><c r="BL4" s="26"/><c r="BM4" s="26"/><c r="BN4" s="26"/><c r="BO4" s="26"/><c r="BP4" s="26"/><c r="BQ4" s="26"/><c r="BR4" s="26"/><c r="BS4" s="26"/><c r="BT4" s="26"/><c r="BU4" s="26"/><c r="BV4" s="26"/><c r="BW4" s="26"/><c r="BX4" s="26"/><c r="BY4" s="26"/><c r="BZ4" s="26"/><c r="CA4" s="26"/><c r="CB4" s="26"/><c r="CC4" s="26"/><c r="CD4" s="26"/><c r="CE4" s="26"/><c r="CF4" s="26"/><c r="CG4" s="26"/><c r="CH4" s="26"/><c r="CI4" s="26"/><c r="CJ4" s="26"/><c r="CK4" s="26"/><c r="CL4" s="26"/><c r="CM4" s="26"/><c r="CN4" s="26"/><c r="CO4" s="26"/><c r="CP4" s="26"/><c r="CQ4" s="26"/><c r="CR4" s="26"/><c r="CS4" s="26"/></row><row r="5" spans="1:128" ht="24.9" customHeight="1" thickBot="1" x14ac:dyDescent="0.35"><c r="A5" s="115"/><c r="B5" s="116"/><c r="C5" s="47"/><c r="D5" s="120" t="s"><v>8</v></c><c r="E5" s="121"/><c r="F5" s="121"/><c r="G5" s="121"/><c r="H5" s="121"/><c r="I5" s="121"/><c r="J5" s="121"/><c r="K5" s="121"/><c r="L5" s="45"/><c r="M5" s="122"><is><t>JULIO CESAR MARTEL VASQUEZ</t></is></c><c r="N5" s="123"/><c r="O5" s="123"/><c r="P5" s="123"/><c r="Q5" s="123"/><c r="R5" s="123"/><c r="S5" s="123"/><c r="T5" s="123"/><c r="U5" s="123"/><c r="V5" s="123"/><c r="W5" s="124"/><c r="X5" s="46"/><c r="Y5" s="120" t="s"><v>4</v></c><c r="Z5" s="121"/><c r="AA5" s="121"/><c r="AB5" s="121"/><c r="AC5" s="121"/><c r="AD5" s="121"/><c r="AE5" s="121"/><c r="AF5" s="121"/><c r="AG5" s="125"/><c r="AH5" s="126"><is><t>A</t></is></c><c r="AI5" s="127"/><c r="AJ5" s="127"/><c r="AK5" s="127"/><c r="AL5" s="127"/><c r="AM5" s="127"/><c r="AN5" s="127"/><c r="AO5" s="127"/><c r="AP5" s="127"/><c r="AQ5" s="127"/><c r="AR5" s="127"/><c r="AS5" s="128"/><c r="AT5" s="44"/><c r="AU5" s="43"/><c r="AV5" s="31"/><c r="AW5" s="26"/><c r="AX5" s="26"/><c r="AY5" s="26"/><c r="AZ5" s="26"/><c r="BA5" s="26"/><c r="BB5" s="26"/><c r="BC5" s="26"/><c r="BD5" s="26"/><c r="BE5" s="26"/><c r="BF5" s="26"/><c r="BG5" s="26"/><c r="BH5" s="26"/><c r="BI5" s="26"/><c r="BJ5" s="26"/><c r="BK5" s="26"/><c r="BL5" s="26"/><c r="BM5" s="26"/><c r="BN5" s="26"/><c r="BO5" s="26"/><c r="BP5" s="26"/><c r="BQ5" s="26"/><c r="BR5" s="26"/><c r="BS5" s="26"/><c r="BT5" s="26"/><c r="BU5" s="26"/><c r="BV5" s="26"/><c r="BW5" s="26"/><c r="BX5" s="26"/><c r="BY5" s="26"/><c r="BZ5" s="26"/><c r="CA5" s="26"/><c r="CB5" s="26"/><c r="CC5" s="26"/><c r="CD5" s="26"/><c r="CE5" s="26"/><c r="CF5" s="26"/><c r="CG5" s="26"/><c r="CH5" s="26"/><c r="CI5" s="26"/><c r="CJ5" s="26"/><c r="CK5" s="26"/><c r="CL5" s="26"/><c r="CM5" s="26"/><c r="CN5" s="26"/><c r="CO5" s="26"/><c r="CP5" s="26"/><c r="CQ5" s="26"/><c r="CR5" s="26"/><c r="CS5" s="26"/></row><row r="6" spans="1:128" ht="6.45" customHeight="1" thickBot="1" x14ac:dyDescent="0.35"><c r="AO6" s="42"/><c r="AP6" s="42"/><c r="AQ6" s="42"/><c r="AR6" s="42"/><c r="AS6" s="42"/><c r="AT6" s="42"/><c r="AU6" s="41"/><c r="AV6" s="31"/><c r="AW6" s="26"/><c r="AX6" s="26"/><c r="AY6" s="26"/><c r="AZ6" s="26"/><c r="BA6" s="26"/><c r="BB6" s="26"/><c r="BC6" s="26"/><c r="BD6" s="26"/><c r="BE6" s="26"/><c r="BF6" s="26"/><c r="BG6" s="26"/><c r="BH6" s="26"/><c r="BI6" s="26"/><c r="BJ6" s="26"/><c r="BK6" s="26"/><c r="BL6" s="26"/><c r="BM6" s="26"/><c r="BN6" s="26"/><c r="BO6" s="26"/><c r="BP6" s="26"/><c r="BQ6" s="26"/><c r="BR6" s="26"/><c r="BS6" s="26"/><c r="BT6" s="26"/><c r="BU6" s="26"/><c r="BV6" s="26"/><c r="BW6" s="26"/><c r="BX6" s="26"/><c r="BY6" s="26"/><c r="BZ6" s="26"/><c r="CA6" s="26"/><c r="CB6" s="26"/><c r="CC6" s="26"/><c r="CD6" s="26"/><c r="CE6" s="26"/><c r="CF6" s="26"/><c r="CG6" s="26"/><c r="CH6" s="26"/><c r="CI6" s="26"/><c r="CJ6" s="26"/><c r="CK6" s="26"/><c r="CL6" s="26"/><c r="CM6" s="26"/><c r="CN6" s="26"/><c r="CO6" s="26"/><c r="CP6" s="26"/><c r="CQ6" s="26"/><c r="CR6" s="26"/><c r="CS6" s="26"/></row><row r="7" spans="1:128" ht="29.25" customHeight="1" thickBot="1" x14ac:dyDescent="0.35"><c r="A7" s="129" t="s"><v>1</v></c><c r="B7" s="132" t="s"><v>2</v></c><c r="C7" s="39"/><c r="D7" s="135" t="s"><v>74</v></c><c r="E7" s="136"/><c r="F7" s="136"/><c r="G7" s="136"/><c r="H7" s="136"/><c r="I7" s="136"/><c r="J7" s="136"/><c r="K7" s="136"/><c r="L7" s="136"/><c r="M7" s="136"/><c r="N7" s="136"/><c r="O7" s="136"/><c r="P7" s="136"/><c r="Q7" s="136"/><c r="R7" s="136"/><c r="S7" s="136"/><c r="T7" s="136"/><c r="U7" s="136"/><c r="V7" s="136"/><c r="W7" s="136"/><c r="X7" s="136"/><c r="Y7" s="136"/><c r="Z7" s="136"/><c r="AA7" s="136"/><c r="AB7" s="136"/><c r="AC7" s="136"/><c r="AD7" s="136"/><c r="AE7" s="136"/><c r="AF7" s="136"/><c r="AG7" s="136"/><c r="AH7" s="136"/><c r="AI7" s="136"/><c r="AJ7" s="136"/><c r="AK7" s="136"/><c r="AL7" s="136"/><c r="AM7" s="137"/><c r="AO7" s="138" t="s"><v>5</v></c><c r="AP7" s="139"/><c r="AQ7" s="139"/><c r="AR7" s="139"/><c r="AS7" s="139"/><c r="AT7" s="139"/><c r="AU7" s="140"/><c r="AV7" s="31"/><c r="AW7" s="26"/><c r="AX7" s="26"/><c r="AY7" s="26"/><c r="AZ7" s="26"/><c r="BA7" s="26"/><c r="BB7" s="26"/><c r="BC7" s="26"/><c r="BD7" s="26"/><c r="BE7" s="26"/><c r="BF7" s="26"/><c r="BG7" s="26"/><c r="BH7" s="26"/><c r="BI7" s="26"/><c r="BJ7" s="26"/><c r="BK7" s="26"/><c r="BL7" s="26"/><c r="BM7" s="26"/><c r="BN7" s="26"/><c r="BO7" s="26"/><c r="BP7" s="26"/><c r="BQ7" s="26"/><c r="BR7" s="26"/><c r="BS7" s="26"/><c r="BT7" s="26"/><c r="BU7" s="26"/><c r="BV7" s="26"/><c r="BW7" s="26"/><c r="BX7" s="26"/><c r="BY7" s="26"/><c r="BZ7" s="26"/><c r="CA7" s="26"/><c r="CB7" s="26"/><c r="CC7" s="26"/><c r="CD7" s="26"/><c r="CE7" s="26"/><c r="CF7" s="26"/><c r="CG7" s="26"/><c r="CH7" s="26"/><c r="CI7" s="26"/><c r="CJ7" s="26"/><c r="CK7" s="26"/><c r="CL7" s="26"/><c r="CM7" s="26"/><c r="CN7" s="26"/><c r="CO7" s="26"/><c r="CP7" s="26"/><c r="CQ7" s="26"/><c r="CR7" s="26"/><c r="CS7" s="26"/></row><row r="8" spans="1:128" ht="62.25" customHeight="1" thickBot="1" x14ac:dyDescent="0.35"><c r="A8" s="130"/><c r="B8" s="133"/><c r="C8" s="39"/><c r="D8" s="144"><is><t>Resuelve problemas de cantidad</t></is></c><c r="E8" s="145"/><c r="F8" s="145"/><c r="G8" s="145"/><c r="H8" s="145"/><c r="I8" s="145"/><c r="J8" s="145"/><c r="K8" s="145"/><c r="L8" s="146"/><c r="M8" s="144"><is><t>Resuelve problemas de regularidad, equivalencia y cambio</t></is></c><c r="N8" s="145"/><c r="O8" s="145"/><c r="P8" s="145"/><c r="Q8" s="145"/><c r="R8" s="145"/><c r="S8" s="145"/><c r="T8" s="145"/><c r="U8" s="146"/><c r="V8" s="144"><is><t>Resuelve problemas de forma, movimiento y localización</t></is></c><c r="W8" s="145"/><c r="X8" s="145"/><c r="Y8" s="145"/><c r="Z8" s="145"/><c r="AA8" s="145"/><c r="AB8" s="145"/><c r="AC8" s="145"/><c r="AD8" s="146"/><c r="AE8" s="151"><is><t>Resuelve problemas de gestión de datos e incertidumbre</t></is></c><c r="AF8" s="152"/><c r="AG8" s="152"/><c r="AH8" s="152"/><c r="AI8" s="152"/><c r="AJ8" s="152"/><c r="AK8" s="152"/><c r="AL8" s="152"/><c r="AM8" s="153"/><c r="AN8" s="40"/><c r="AO8" s="141"/><c r="AP8" s="142"/><c r="AQ8" s="142"/><c r="AR8" s="142"/><c r="AS8" s="142"/><c r="AT8" s="142"/><c r="AU8" s="143"/><c r="AV8" s="31"/><c r="AW8" s="26"/><c r="AX8" s="26"/><c r="AY8" s="26"/><c r="AZ8" s="26"/><c r="BA8" s="26"/><c r="BB8" s="26"/><c r="BC8" s="26"/><c r="BD8" s="26"/><c r="BE8" s="26"/><c r="BF8" s="26"/><c r="BG8" s="26"/><c r="BH8" s="26"/><c r="BI8" s="26"/><c r="BJ8" s="26"/><c r="BK8" s="26"/><c r="BL8" s="26"/><c r="BM8" s="26"/><c r="BN8" s="26"/><c r="BO8" s="26"/><c r="BP8" s="26"/><c r="BQ8" s="26"/><c r="BR8" s="26"/><c r="BS8" s="26"/><c r="BT8" s="26"/><c r="BU8" s="26"/><c r="BV8" s="26"/><c r="BW8" s="26"/><c r="BX8" s="26"/><c r="BY8" s="26"/><c r="BZ8" s="26"/><c r="CA8" s="26"/><c r="CB8" s="26"/><c r="CC8" s="26"/><c r="CD8" s="26"/><c r="CE8" s="26"/><c r="CF8" s="26"/><c r="CG8" s="26"/><c r="CH8" s="26"/><c r="CI8" s="26"/><c r="CJ8" s="26"/><c r="CK8" s="26"/><c r="CL8" s="26"/><c r="CM8" s="26"/><c r="CN8" s="26"/><c r="CO8" s="26"/><c r="CP8" s="26"/><c r="CQ8" s="26"/><c r="CR8" s="26"/><c r="CS8" s="26"/></row><row r="9" spans="1:128" ht="34.950000000000003" customHeight="1" thickBot="1" x14ac:dyDescent="0.35"><c r="A9" s="130"/><c r="B9" s="133"/><c r="C9" s="39"/><c r="D9" s="154" t="s"><v>73</v></c><c r="E9" s="155"/><c r="F9" s="155"/><c r="G9" s="155"/><c r="H9" s="155"/><c r="I9" s="155"/><c r="J9" s="155"/><c r="K9" s="156"/><c r="L9" s="107" t="s"><v>67</v></c><c r="M9" s="154" t="s"><v>73</v></c><c r="N9" s="155"/><c r="O9" s="155"/><c r="P9" s="155"/><c r="Q9" s="155"/><c r="R9" s="155"/><c r="S9" s="155"/><c r="T9" s="156"/><c r="U9" s="107" t="s"><v>67</v></c><c r="V9" s="154" t="s"><v>73</v></c><c r="W9" s="155"/><c r="X9" s="155"/><c r="Y9" s="155"/><c r="Z9" s="155"/><c r="AA9" s="155"/><c r="AB9" s="155"/><c r="AC9" s="156"/><c r="AD9" s="107" t="s"><v>67</v></c><c r="AE9" s="154" t="s"><v>73</v></c><c r="AF9" s="155"/><c r="AG9" s="155"/><c r="AH9" s="155"/><c r="AI9" s="155"/><c r="AJ9" s="155"/><c r="AK9" s="155"/><c r="AL9" s="156"/><c r="AM9" s="107" t="s"><v>67</v></c><c r="AN9" s="38"/><c r="AO9" s="109" t="s"><v>68</v></c><c r="AP9" s="109" t="s"><v>69</v></c><c r="AQ9" s="109" t="s"><v>70</v></c><c r="AR9" s="109" t="s"><v>71</v></c><c r="AS9" s="85" t="s"><v>66</v></c><c r="AT9" s="147" t="s"><v>23</v></c><c r="AU9" s="148"/><c r="AV9" s="31"/><c r="AW9" s="26"/><c r="AX9" s="26"/><c r="AY9" s="26"/><c r="AZ9" s="26"/><c r="BA9" s="26"/><c r="BB9" s="26"/><c r="BC9" s="26"/><c r="BD9" s="26"/><c r="BE9" s="26"/><c r="BF9" s="26"/><c r="BG9" s="26"/><c r="BH9" s="26"/><c r="BI9" s="26"/><c r="BJ9" s="26"/><c r="BK9" s="26"/><c r="BL9" s="26"/><c r="BM9" s="26"/><c r="BN9" s="26"/><c r="BO9" s="26"/><c r="BP9" s="26"/><c r="BQ9" s="26"/><c r="BR9" s="26"/><c r="BS9" s="26"/><c r="BT9" s="26"/><c r="BU9" s="26"/><c r="BV9" s="26"/><c r="BW9" s="26"/><c r="BX9" s="26"/><c r="BY9" s="26"/><c r="BZ9" s="26"/><c r="CA9" s="26"/><c r="CB9" s="26"/><c r="CC9" s="26"/><c r="CD9" s="26"/><c r="CE9" s="26"/><c r="CF9" s="26"/><c r="CG9" s="26"/><c r="CH9" s="26"/><c r="CI9" s="26"/><c r="CJ9" s="26"/><c r="CK9" s="26"/><c r="CL9" s="26"/><c r="CM9" s="26"/><c r="CN9" s="26"/><c r="CO9" s="26"/><c r="CP9" s="26"/><c r="CQ9" s="26"/><c r="CR9" s="26"/><c r="CS9" s="26"/></row><row r="10" spans="1:128" ht="125.4" customHeight="1" thickTop="1" thickBot="1" x14ac:dyDescent="0.35"><c r="A10" s="131"/><c r="B10" s="134"/><c r="C10" s="39"/><c r="D10" s="74"><is><t>Criterio 1</t></is></c><c r="E10" s="75"><is><t>Criterio 2</t></is></c><c r="F10" s="75"><is><t>Criterio 3</t></is></c><c r="G10" s="75"><is><t>Criterio 4</t></is></c><c r="H10" s="64"/><c r="I10" s="64"/><c r="J10" s="65"/><c r="K10" s="62" t="s"><v>12</v></c><c r="L10" s="108"/><c r="M10" s="74"><is><t>Criterio 1</t></is></c><c r="N10" s="75"><is><t>Criterio 2</t></is></c><c r="O10" s="75"><is><t>Criterio 3</t></is></c><c r="P10" s="75"><is><t>Criterio 4</t></is></c><c r="Q10" s="64"/><c r="R10" s="64"/><c r="S10" s="65"/><c r="T10" s="62" t="s"><v>12</v></c><c r="U10" s="108"/><c r="V10" s="74"><is><t>Criterio 1</t></is></c><c r="W10" s="75"><is><t>Criterio 2</t></is></c><c r="X10" s="75"><is><t>Criterio 3</t></is></c><c r="Y10" s="75"><is><t>Criterio 4</t></is></c><c r="Z10" s="64"/><c r="AA10" s="64"/><c r="AB10" s="65"/><c r="AC10" s="62" t="s"><v>12</v></c><c r="AD10" s="108"/><c r="AE10" s="63"/><is><t>Criterio 1</t></is></c><c r="AM10" s="108"/><c r="AN10" s="38"/><c r="AO10" s="110"/><c r="AP10" s="110"/><c r="AQ10" s="110"/><c r="AR10" s="110"/><c r="AS10" s="86"/><c r="AT10" s="149"/><c r="AU10" s="150"/><c r="AV10" s="31"/><c r="AW10" s="26"/><c r="AX10" s="26"/><c r="AY10" s="26"/><c r="AZ10" s="26"/><c r="BA10" s="26"/><c r="BB10" s="26"/><c r="BC10" s="26"/><c r="BD10" s="26"/><c r="BE10" s="26"/><c r="BF10" s="26"/><c r="BG10" s="26"/><c r="BH10" s="26"/><c r="BI10" s="26"/><c r="BJ10" s="26"/><c r="BK10" s="26"/><c r="BL10" s="26"/><c r="BM10" s="26"/><c r="BN10" s="26"/><c r="BO10" s="26"/><c r="BP10" s="26"/><c r="BQ10" s="26"/><c r="BR10" s="26"/><c r="BS10" s="26"/><c r="BT10" s="26"/><c r="BU10" s="26"/><c r="BV10" s="26"/><c r="BW10" s="26"/><c r="BX10" s="26"/><c r="BY10" s="26"/><c r="BZ10" s="26"/><c r="CA10" s="26"/><c r="CB10" s="26"/><c r="CC10" s="26"/><c r="CD10" s="26"/><c r="CE10" s="26"/><c r="CF10" s="26"/><c r="CG10" s="26"/><c r="CH10" s="26"/><c r="CI10" s="26"/><c r="CJ10" s="26"/><c r="CK10" s="26"/><c r="CL10" s="26"/><c r="CM10" s="26"/><c r="CN10" s="26"/><c r="CO10" s="26"/><c r="CP10" s="26"/><c r="CQ10" s="26"/><c r="CR10" s="26"/><c r="CS10" s="26"/></row><row r="11" spans="1:128" ht="49.95" customHeight="1" thickTop="1" thickBot="1" x14ac:dyDescent="0.35"><c r="A11" s="6"><v>1</v></c><c r="B11" s="72"><is><t>AGUILAR SANGAY, JHOSELIN TATIANA</t></is></c><c r="C11" s="35"/><c r="D11" s="7"><is><t>B</t></is></c><c r="E11" s="8"><is><t>A</t></is></c><c r="F11" s="8"><is><t></t></is></c><c r="G11" s="8"><is><t></t></is></c><c r="H11" s="8"/><c r="I11" s="8"/><c r="J11" s="9"/><c r="K11" s="60"><v>A</v></c><c r="L11" s="67"><is><t>Logra realizar las actividades propuestas de manera satisfactoria.</t></is></c><c r="M11" s="7"><is><t></t></is></c><c r="N11" s="8"><is><t></t></is></c><c r="O11" s="8"><is><t></t></is></c><c r="P11" s="8"><is><t></t></is></c><c r="Q11" s="8"/><c r="R11" s="8"/><c r="S11" s="9"/><c r="T11" s="60"><v></v></c><c r="U11" s="67"><is><t></t></is></c><c r="V11" s="7"><is><t></t></is></c><c r="W11" s="8"><is><t></t></is></c><c r="X11" s="8"><is><t></t></is></c><c r="Y11" s="8"><is><t></t></is></c><c r="Z11" s="8"/><c r="AA11" s="8"/><c r="AB11" s="9"/><c r="AC11" s="60"><v></v></c><c r="AD11" s="67"><is><t></t></is></c><c r="AE11" s="7"/><is><t></t></is></c><c r="AM11" s="67"/><is><t></t></is></c><c r="AP11" s="34"><v></v></c><c r="AQ11" s="34"><v></v></c><c r="AR11" s="33"><v></v></c><c r="AS11" s="37" t="str"><f>+IFERROR(IF(CK11=4,"AD",IF(CK11=3,"A",IF(CK11=2,"B",IF(CK11=1,"C")))),"")</f><v/></c><c r="AT11" s="93"/><c r="AU11" s="94"/><c r="AV11" s="31"/><c r="AW11" s="30"><f t="shared" ref="AW11:BC45" si="8">+IF(D11="","",IF(D11="AD",4,IF(D11="A",3,IF(D11="B",2,IF(D11="C",1)))))</f><v></v></c><c r="AX11" s="30"><f t="shared" si="8"/><v></v></c><c r="AY11" s="30"><f t="shared" si="8"/><v></v></c><c r="AZ11" s="30"><f t="shared" si="8"/><v></v></c><c r="BA11" s="30" t="str"><f t="shared" si="8"/><v/></c><c r="BB11" s="30" t="str"><f t="shared" si="8"/><v/></c><c r="BC11" s="30" t="str"><f t="shared" si="8"/><v/></c><c r="BD11" s="29"><f t="shared" ref="BD11:BD50" si="9">+ROUND(AVERAGE(AW11:BC11),0)</f><v></v></c><c r="BE11" s="26"/><c r="BF11" s="28"><f t="shared" ref="BF11:BL45" si="10">+IF(M11="","",IF(M11="AD",4,IF(M11="A",3,IF(M11="B",2,IF(M11="C",1)))))</f><v></v></c><c r="BG11" s="28"><f t="shared" si="10"/><v></v></c><c r="BH11" s="28"><f t="shared" si="10"/><v></v></c><c r="BI11" s="28"><f t="shared" si="10"/><v></v></c><c r="BJ11" s="28" t="str"><f t="shared" si="10"/><v/></c><c r="BK11" s="28" t="str"><f t="shared" si="10"/><v/></c><c r="BL11" s="28" t="str"><f t="shared" si="10"/><v/></c><c r="BM11" s="29"><f t="shared" ref="BM11:BM50" si="11">+ROUND(AVERAGE(BF11:BL11),0)</f><v></v></c><c r="BN11" s="26"/><c r="BO11" s="28"><f t="shared" ref="BO11:BU45" si="12">+IF(V11="","",IF(V11="AD",4,IF(V11="A",3,IF(V11="B",2,IF(V11="C",1)))))</f><v></v></c><c r="BP11" s="28"><f t="shared" si="12"/><v></v></c><c r="BQ11" s="28"><f t="shared" si="12"/><v></v></c><c r="BR11" s="28"><f t="shared" si="12"/><v></v></c><c r="BS11" s="28" t="str"><f t="shared" si="12"/><v/></c><c r="BT11" s="28" t="str"><f t="shared" si="12"/><v/></c><c r="BU11" s="28" t="str"><f t="shared" si="12"/><v/></c><c r="BV11" s="29"><f t="shared" ref="BV11:BV50" si="13">+ROUND(AVERAGE(BO11:BU11),0)</f><v></v></c><c r="BW11" s="26"/><c r="BX11" s="28" t="str"><f t="shared" ref="BX11:CD45" si="14">+IF(AE11="","",IF(AE11="AD",4,IF(AE11="A",3,IF(AE11="B",2,IF(AE11="C",1)))))</f><v/></c><c r="BY11" s="28" t="str"><f t="shared" si="14"/><v/></c><c r="BZ11" s="28" t="str"><f t="shared" si="14"/><v/></c><c r="CA11" s="28" t="str"><f t="shared" si="14"/><v/></c><c r="CB11" s="28" t="str"><f t="shared" si="14"/><v/></c><c r="CC11" s="28" t="str"><f t="shared" si="14"/><v/></c><c r="CD11" s="28" t="str"><f t="shared" si="14"/><v/></c><c r="CE11" s="29" t="e"><f t="shared" ref="CE11:CE50" si="15">+ROUND(AVERAGE(BX11:CD11),0)</f><v></v></c><c r="CF11" s="26"/><c r="CG11" s="28"><f t="shared" ref="CG11:CG50" si="16">+BD11</f><v></v></c><c r="CH11" s="28"><f>+BM11</f><v></v></c><c r="CI11" s="28"><f t="shared" ref="CI11:CI50" si="17">+BV11</f><v></v></c><c r="CJ11" s="28" t="e"><f t="shared" ref="CJ11:CJ50" si="18">+CE11</f><v></v></c><c r="CK11" s="27" t="e"><f t="shared" ref="CK11:CK50" si="19">+ROUND(AVERAGE(CG11:CJ11),0)</f><v></v></c><c r="CL11" s="26"/><c r="CM11" s="26"/><c r="CN11" s="26"/><c r="CO11" s="95" t="str"><f>+CONCATENATE(M4," - ",AH4," ",AH5," - ", Y3," ",AH3)</f><v></v></c><c r="CP11" s="96"/><c r="CQ11" s="96"/><c r="CR11" s="96"/><c r="CS11" s="96"/><c r="CT11" s="97"/><c r="CU11" s="36" t="s"><v></v></c><c r="CV11" s="104" t="s"><v></v></c><c r="CW11" s="104"/><c r="CX11" s="105" t="s"><v></v></c><c r="CY11" s="105"/><c r="CZ11" s="106" t="s"><v></v></c><c r="DA11" s="106"/><c r="DB11" s="81" t="s"><v></v></c><c r="DC11" s="81"/><c r="DD11" s="87" t="s"><v></v></c><c r="DE11" s="87"/><c r="DF11" s="87"/><c r="DG11" s="88" t="s"><v></v></c><c r="DH11" s="88"/><c r="DI11" s="88"/><c r="DJ11" s="88"/><c r="DK11" s="1"/><c r="DL11" s="1"/><c r="DM11" s="1"/><c r="DN11" s="1"/><c r="DO11" s="1"/><c r="DP11" s="1"/><c r="DQ11" s="1"/><c r="DR11" s="1"/><c r="DS11" s="1"/><c r="DX11" s="20"/></row><row r="12" spans="1:128" ht="49.95" customHeight="1" thickTop="1" thickBot="1" x14ac:dyDescent="0.35"><c r="A12" s="10"><v>2</v></c><c r="B12" s="72"><is><t>AMASIFUEN CHANCHARI, HELLEN CLEYDITH</t></is></c><c r="C12" s="35"/><c r="D12" s="11"><is><t>C</t></is></c><c r="E12" s="12"><is><t></t></is></c><c r="F12" s="12"><is><t></t></is></c><c r="G12" s="12"><is><t></t></is></c><c r="H12" s="12"/><c r="I12" s="12"/><c r="J12" s="59"/><c r="K12" s="61"><v>C</v></c><c r="L12" s="66"><is><t>No logra realizar las actividades propuestas.</t></is></c><c r="M12" s="11"><is><t></t></is></c><c r="N12" s="12"><is><t></t></is></c><c r="O12" s="12"><is><t></t></is></c><c r="P12" s="12"><is><t></t></is></c><c r="Q12" s="12"/><c r="R12" s="12"/><c r="S12" s="13"/><c r="T12" s="61"><v></v></c><c r="U12" s="66"><is><t></t></is></c><c r="V12" s="11"><is><t></t></is></c><c r="W12" s="12"><is><t></t></is></c><c r="X12" s="12"><is><t></t></is></c><c r="Y12" s="12"><is><t></t></is></c><c r="Z12" s="12"/><c r="AA12" s="12"/><c r="AB12" s="13"/><c r="AC12" s="61"><v></v></c><c r="AD12" s="66"><is><t></t></is></c><c r="AE12" s="11"/><is><t></t></is></c><c r="AM12" s="66"/><is><t></t></is></c><c r="AP12" s="34"><v></v></c><c r="AQ12" s="34"><v></v></c><c r="AR12" s="33"><v></v></c><c r="AS12" s="32" t="str"><f t="shared" ref="AS12:AS50" si="20">+IFERROR(IF(CK12=4,"AD",IF(CK12=3,"A",IF(CK12=2,"B",IF(CK12=1,"C")))),"")</f><v/></c><c r="AT12" s="79"/><c r="AU12" s="80"/><c r="AV12" s="31"/><c r="AW12" s="30"><f t="shared" si="8"/><v></v></c><c r="AX12" s="30"><f t="shared" si="8"/><v></v></c><c r="AY12" s="30"><f t="shared" si="8"/><v></v></c><c r="AZ12" s="30"><f t="shared" si="8"/><v></v></c><c r="BA12" s="30" t="str"><f t="shared" si="8"/><v/></c><c r="BB12" s="30" t="str"><f t="shared" si="8"/><v/></c><c r="BC12" s="30" t="str"><f t="shared" si="8"/><v/></c><c r="BD12" s="29"><f t="shared" si="9"/><v></v></c><c r="BE12" s="26"/><c r="BF12" s="28"><f t="shared" si="10"/><v></v></c><c r="BG12" s="28"><f t="shared" si="10"/><v></v></c><c r="BH12" s="28"><f t="shared" si="10"/><v></v></c><c r="BI12" s="28"><f t="shared" si="10"/><v></v></c><c r="BJ12" s="28" t="str"><f t="shared" si="10"/><v/></c><c r="BK12" s="28" t="str"><f t="shared" si="10"/><v/></c><c r="BL12" s="28" t="str"><f t="shared" si="10"/><v/></c><c r="BM12" s="29"><f t="shared" si="11"/><v></v></c><c r="BN12" s="26"/><c r="BO12" s="28"><f t="shared" si="12"/><v></v></c><c r="BP12" s="28"><f t="shared" si="12"/><v></v></c><c r="BQ12" s="28"><f t="shared" si="12"/><v></v></c><c r="BR12" s="28"><f t="shared" si="12"/><v></v></c><c r="BS12" s="28" t="str"><f t="shared" si="12"/><v/></c><c r="BT12" s="28" t="str"><f t="shared" si="12"/><v/></c><c r="BU12" s="28" t="str"><f t="shared" si="12"/><v/></c><c r="BV12" s="29"><f t="shared" si="13"/><v></v></c><c r="BW12" s="26"/><c r="BX12" s="28" t="str"><f t="shared" si="14"/><v/></c><c r="BY12" s="28" t="str"><f t="shared" si="14"/><v/></c><c r="BZ12" s="28" t="str"><f t="shared" si="14"/><v/></c><c r="CA12" s="28" t="str"><f t="shared" si="14"/><v/></c><c r="CB12" s="28" t="str"><f t="shared" si="14"/><v/></c><c r="CC12" s="28" t="str"><f t="shared" si="14"/><v/></c><c r="CD12" s="28" t="str"><f t="shared" si="14"/><v/></c><c r="CE12" s="29" t="e"><f t="shared" si="15"/><v></v></c><c r="CF12" s="26"/><c r="CG12" s="28"><f t="shared" si="16"/><v></v></c><c r="CH12" s="28"><f t="shared" ref="CH12:CH50" si="21">+BM12</f><v></v></c><c r="CI12" s="28"><f t="shared" si="17"/><v></v></c><c r="CJ12" s="28" t="e"><f t="shared" si="18"/><v></v></c><c r="CK12" s="27" t="e"><f t="shared" si="19"/><v></v></c><c r="CL12" s="26"/><c r="CM12" s="26"/><c r="CN12" s="26"/><c r="CO12" s="98"/><c r="CP12" s="99"/><c r="CQ12" s="99"/><c r="CR12" s="99"/><c r="CS12" s="99"/><c r="CT12" s="100"/><c r="CU12" s="89" t="s"><v></v></c><c r="CV12" s="90"><f>+COUNTIF($AS$11:$AS$50,"AD")</f><v></v></c><c r="CW12" s="90"/><c r="CX12" s="90"><f>+COUNTIF($AS$11:$AS$50,"A")</f><v></v></c><c r="CY12" s="90"/><c r="CZ12" s="90"><f>+COUNTIF($AS$11:$AS$50,"B")</f><v></v></c><c r="DA12" s="90"/><c r="DB12" s="90"><f>+COUNTIF($AS$11:$AS$50,"C")</f><v></v></c><c r="DC12" s="90"/><c r="DD12" s="91"><v></v></c><c r="DE12" s="91"/><c r="DF12" s="91"/><c r="DG12" s="92"><f>+SUM(CV12:DF12)</f><v></v></c><c r="DH12" s="92"/><c r="DI12" s="92"/><c r="DJ12" s="92"/><c r="DK12" s="1"/><c r="DL12" s="1"/><c r="DM12" s="1"/><c r="DN12" s="1"/><c r="DO12" s="1"/><c r="DP12" s="1"/><c r="DQ12" s="1"/><c r="DR12" s="1"/><c r="DS12" s="1"/><c r="DX12" s="20"/></row><row r="13" spans="1:128" ht="49.95" customHeight="1" thickTop="1" thickBot="1" x14ac:dyDescent="0.35"><c r="A13" s="10"><v>3</v></c><c r="B13" s="72"><is><t>ARAUJO HUALINGA, MAILI</t></is></c><c r="C13" s="35"/><c r="D13" s="11"><is><t>A</t></is></c><c r="E13" s="12"><is><t></t></is></c><c r="F13" s="12"><is><t></t></is></c><c r="G13" s="12"><is><t></t></is></c><c r="H13" s="12"/><c r="I13" s="12"/><c r="J13" s="59"/><c r="K13" s="61"><v>A</v></c><c r="L13" s="66"><is><t>Logra realizar las actividades propuestas de manera satisfactoria.</t></is></c><c r="M13" s="11"><is><t></t></is></c><c r="N13" s="12"><is><t></t></is></c><c r="O13" s="12"><is><t></t></is></c><c r="P13" s="12"><is><t></t></is></c><c r="Q13" s="12"/><c r="R13" s="12"/><c r="S13" s="13"/><c r="T13" s="61"><v></v></c><c r="U13" s="66"><is><t></t></is></c><c r="V13" s="11"><is><t></t></is></c><c r="W13" s="12"><is><t></t></is></c><c r="X13" s="12"><is><t></t></is></c><c r="Y13" s="12"><is><t></t></is></c><c r="Z13" s="12"/><c r="AA13" s="12"/><c r="AB13" s="13"/><c r="AC13" s="61"><v></v></c><c r="AD13" s="66"><is><t></t></is></c><c r="AE13" s="11"/><is><t></t></is></c><c r="AM13" s="66"/><is><t></t></is></c><c r="AP13" s="34"><v></v></c><c r="AQ13" s="34"><v></v></c><c r="AR13" s="33"><v></v></c><c r="AS13" s="32" t="str"><f t="shared" si="20"/><v/></c><c r="AT13" s="79"/><c r="AU13" s="80"/><c r="AV13" s="31"/><c r="AW13" s="30"><f t="shared" si="8"/><v></v></c><c r="AX13" s="30"><f t="shared" si="8"/><v></v></c><c r="AY13" s="30"><f t="shared" si="8"/><v></v></c><c r="AZ13" s="30"><f t="shared" si="8"/><v></v></c><c r="BA13" s="30" t="str"><f t="shared" si="8"/><v/></c><c r="BB13" s="30" t="str"><f t="shared" si="8"/><v/></c><c r="BC13" s="30" t="str"><f t="shared" si="8"/><v/></c><c r="BD13" s="29"><f t="shared" si="9"/><v></v></c><c r="BE13" s="26"/><c r="BF13" s="28"><f t="shared" si="10"/><v></v></c><c r="BG13" s="28"><f t="shared" si="10"/><v></v></c><c r="BH13" s="28"><f t="shared" si="10"/><v></v></c><c r="BI13" s="28"><f t="shared" si="10"/><v></v></c><c r="BJ13" s="28" t="str"><f t="shared" si="10"/><v/></c><c r="BK13" s="28" t="str"><f t="shared" si="10"/><v/></c><c r="BL13" s="28" t="str"><f t="shared" si="10"/><v/></c><c r="BM13" s="29"><f t="shared" si="11"/><v></v></c><c r="BN13" s="26"/><c r="BO13" s="28"><f t="shared" si="12"/><v></v></c><c r="BP13" s="28"><f t="shared" si="12"/><v></v></c><c r="BQ13" s="28"><f t="shared" si="12"/><v></v></c><c r="BR13" s="28"><f t="shared" si="12"/><v></v></c><c r="BS13" s="28" t="str"><f t="shared" si="12"/><v/></c><c r="BT13" s="28" t="str"><f t="shared" si="12"/><v/></c><c r="BU13" s="28" t="str"><f t="shared" si="12"/><v/></c><c r="BV13" s="29"><f t="shared" si="13"/><v></v></c><c r="BW13" s="26"/><c r="BX13" s="28" t="str"><f t="shared" si="14"/><v/></c><c r="BY13" s="28" t="str"><f t="shared" si="14"/><v/></c><c r="BZ13" s="28" t="str"><f t="shared" si="14"/><v/></c><c r="CA13" s="28" t="str"><f t="shared" si="14"/><v/></c><c r="CB13" s="28" t="str"><f t="shared" si="14"/><v/></c><c r="CC13" s="28" t="str"><f t="shared" si="14"/><v/></c><c r="CD13" s="28" t="str"><f t="shared" si="14"/><v/></c><c r="CE13" s="29" t="e"><f t="shared" si="15"/><v></v></c><c r="CF13" s="26"/><c r="CG13" s="28"><f t="shared" si="16"/><v></v></c><c r="CH13" s="28"><f t="shared" si="21"/><v></v></c><c r="CI13" s="28"><f t="shared" si="17"/><v></v></c><c r="CJ13" s="28" t="e"><f t="shared" si="18"/><v></v></c><c r="CK13" s="27" t="e"><f t="shared" si="19"/><v></v></c><c r="CL13" s="26"/><c r="CM13" s="26"/><c r="CN13" s="26"/><c r="CO13" s="101"/><c r="CP13" s="102"/><c r="CQ13" s="102"/><c r="CR13" s="102"/><c r="CS13" s="102"/><c r="CT13" s="103"/><c r="CU13" s="89"/><c r="CV13" s="82" t="e"><f>+CV12/$DG$12</f><v></v></c><c r="CW13" s="82"/><c r="CX13" s="82" t="e"><f>+CX12/$DG$12</f><v></v></c><c r="CY13" s="82"/><c r="CZ13" s="82" t="e"><f>+CZ12/$DG$12</f><v></v></c><c r="DA13" s="82"/><c r="DB13" s="82" t="e"><f>+DB12/$DG$12</f><v></v></c><c r="DC13" s="82"/><c r="DD13" s="82" t="e"><f>+DD12/$DG$12</f><v></v></c><c r="DE13" s="82"/><c r="DF13" s="82"/><c r="DG13" s="83" t="e"><f>+SUM(CV13:DF13)</f><v></v></c><c r="DH13" s="84"/><c r="DI13" s="84"/><c r="DJ13" s="84"/><c r="DK13" s="1"/><c r="DL13" s="1"/><c r="DM13" s="1"/><c r="DN13" s="1"/><c r="DO13" s="1"/><c r="DP13" s="1"/><c r="DQ13" s="1"/><c r="DR13" s="1"/><c r="DS13" s="1"/><c r="DX13" s="20"/></row><row r="14" spans="1:128" ht="49.95" customHeight="1" thickTop="1" thickBot="1" x14ac:dyDescent="0.35"><c r="A14" s="10"><v>4</v></c><c r="B14" s="72"><is><t>ARIRAMA MANIHUARI DEYVIS JULIO</t></is></c><c r="C14" s="35"/><c r="D14" s="11"><is><t>C</t></is></c><c r="E14" s="12"><is><t>C</t></is></c><c r="F14" s="12"><is><t></t></is></c><c r="G14" s="12"><is><t></t></is></c><c r="H14" s="12"/><c r="I14" s="12"/><c r="J14" s="13"/><c r="K14" s="61"><v>C</v></c><c r="L14" s="66"><is><t>No logra realizar las actividades propuestas.</t></is></c><c r="M14" s="11"><is><t></t></is></c><c r="N14" s="12"><is><t></t></is></c><c r="O14" s="12"><is><t></t></is></c><c r="P14" s="12"><is><t></t></is></c><c r="Q14" s="12"/><c r="R14" s="12"/><c r="S14" s="13"/><c r="T14" s="61"><v></v></c><c r="U14" s="66"><is><t></t></is></c><c r="V14" s="11"><is><t></t></is></c><c r="W14" s="12"><is><t></t></is></c><c r="X14" s="12"><is><t></t></is></c><c r="Y14" s="12"><is><t></t></is></c><c r="Z14" s="12"/><c r="AA14" s="12"/><c r="AB14" s="13"/><c r="AC14" s="61"><v></v></c><c r="AD14" s="66"><is><t></t></is></c><c r="AE14" s="11"/><is><t></t></is></c><c r="AM14" s="66"/><is><t></t></is></c><c r="AP14" s="34"><v></v></c><c r="AQ14" s="34"><v></v></c><c r="AR14" s="33"><v></v></c><c r="AS14" s="32" t="str"><f t="shared" si="20"/><v/></c><c r="AT14" s="79"/><c r="AU14" s="80"/><c r="AV14" s="31"/><c r="AW14" s="30"><f t="shared" si="8"/><v></v></c><c r="AX14" s="30"><f t="shared" si="8"/><v></v></c><c r="AY14" s="30"><f t="shared" si="8"/><v></v></c><c r="AZ14" s="30"><f t="shared" si="8"/><v></v></c><c r="BA14" s="30" t="str"><f t="shared" si="8"/><v/></c><c r="BB14" s="30" t="str"><f t="shared" si="8"/><v/></c><c r="BC14" s="30" t="str"><f t="shared" si="8"/><v/></c><c r="BD14" s="29"><f t="shared" si="9"/><v></v></c><c r="BE14" s="26"/><c r="BF14" s="28"><f t="shared" si="10"/><v></v></c><c r="BG14" s="28"><f t="shared" si="10"/><v></v></c><c r="BH14" s="28"><f t="shared" si="10"/><v></v></c><c r="BI14" s="28"><f t="shared" si="10"/><v></v></c><c r="BJ14" s="28" t="str"><f t="shared" si="10"/><v/></c><c r="BK14" s="28" t="str"><f t="shared" si="10"/><v/></c><c r="BL14" s="28" t="str"><f t="shared" si="10"/><v/></c><c r="BM14" s="29"><f t="shared" si="11"/><v></v></c><c r="BN14" s="26"/><c r="BO14" s="28"><f t="shared" si="12"/><v></v></c><c r="BP14" s="28"><f t="shared" si="12"/><v></v></c><c r="BQ14" s="28"><f t="shared" si="12"/><v></v></c><c r="BR14" s="28"><f t="shared" si="12"/><v></v></c><c r="BS14" s="28" t="str"><f t="shared" si="12"/><v/></c><c r="BT14" s="28" t="str"><f t="shared" si="12"/><v/></c><c r="BU14" s="28" t="str"><f t="shared" si="12"/><v/></c><c r="BV14" s="29"><f t="shared" si="13"/><v></v></c><c r="BW14" s="26"/><c r="BX14" s="28" t="str"><f t="shared" si="14"/><v/></c><c r="BY14" s="28" t="str"><f t="shared" si="14"/><v/></c><c r="BZ14" s="28" t="str"><f t="shared" si="14"/><v/></c><c r="CA14" s="28" t="str"><f t="shared" si="14"/><v/></c><c r="CB14" s="28" t="str"><f t="shared" si="14"/><v/></c><c r="CC14" s="28" t="str"><f t="shared" si="14"/><v/></c><c r="CD14" s="28" t="str"><f t="shared" si="14"/><v/></c><c r="CE14" s="29" t="e"><f t="shared" si="15"/><v></v></c><c r="CF14" s="26"/><c r="CG14" s="28"><f t="shared" si="16"/><v></v></c><c r="CH14" s="28"><f t="shared" si="21"/><v></v></c><c r="CI14" s="28"><f t="shared" si="17"/><v></v></c><c r="CJ14" s="28" t="e"><f t="shared" si="18"/><v></v></c><c r="CK14" s="27" t="e"><f t="shared" si="19"/><v></v></c><c r="CL14" s="26"/><c r="CM14" s="26"/><c r="CN14" s="26"/><c r="CO14" s="1"/><c r="CP14" s="1"/><c r="CQ14" s="1"/><c r="CR14" s="1"/><c r="CS14" s="1"/><c r="CT14" s="1"/><c r="CU14" s="1"/><c r="CV14" s="1"/><c r="CW14" s="1"/><c r="CX14" s="1"/><c r="CY14" s="1"/><c r="CZ14" s="1"/><c r="DA14" s="1"/><c r="DB14" s="1"/><c r="DC14" s="1"/><c r="DD14" s="1"/><c r="DE14" s="1"/><c r="DF14" s="1"/><c r="DG14" s="1"/><c r="DH14" s="1"/><c r="DI14" s="1"/><c r="DJ14" s="1"/><c r="DK14" s="1"/><c r="DL14" s="1"/><c r="DM14" s="1"/><c r="DN14" s="1"/><c r="DO14" s="1"/><c r="DP14" s="1"/><c r="DQ14" s="1"/><c r="DR14" s="1"/><c r="DS14" s="1"/><c r="DX14" s="20"/></row><row r="15" spans="1:128" ht="49.95" customHeight="1" thickTop="1" thickBot="1" x14ac:dyDescent="0.35"><c r="A15" s="10"><v>5</v></c><c r="B15" s="72"><is><t>BLAS ZUTA, LUIS ANTONIO</t></is></c><c r="C15" s="35"/><c r="D15" s="11"><is><t>AD</t></is></c><c r="E15" s="12"><is><t></t></is></c><c r="F15" s="12"><is><t></t></is></c><c r="G15" s="12"><is><t></t></is></c><c r="H15" s="12"/><c r="I15" s="12"/><c r="J15" s="13"/><c r="K15" s="61"><v>AD</v></c><c r="L15" s="66"><is><t>Logra realizar las actividades propuestas de manera destacada, demostrando un dominio excelente.</t></is></c><c r="M15" s="11"><is><t></t></is></c><c r="N15" s="12"><is><t></t></is></c><c r="O15" s="12"><is><t></t></is></c><c r="P15" s="12"><is><t></t></is></c><c r="Q15" s="12"/><c r="R15" s="12"/><c r="S15" s="13"/><c r="T15" s="61"><v></v></c><c r="U15" s="66"><is><t></t></is></c><c r="V15" s="11"><is><t></t></is></c><c r="W15" s="12"><is><t></t></is></c><c r="X15" s="12"><is><t></t></is></c><c r="Y15" s="12"><is><t></t></is></c><c r="Z15" s="12"/><c r="AA15" s="12"/><c r="AB15" s="13"/><c r="AC15" s="61"><v></v></c><c r="AD15" s="66"><is><t></t></is></c><c r="AE15" s="11"/><is><t></t></is></c><c r="AM15" s="66"/><is><t></t></is></c><c r="AP15" s="34"><v></v></c><c r="AQ15" s="34"><v></v></c><c r="AR15" s="33"><v></v></c><c r="AS15" s="32" t="str"><f t="shared" si="20"/><v/></c><c r="AT15" s="79"/><c r="AU15" s="80"/><c r="AV15" s="31"/><c r="AW15" s="30"><f t="shared" si="8"/><v></v></c><c r="AX15" s="30"><f t="shared" si="8"/><v></v></c><c r="AY15" s="30"><f t="shared" si="8"/><v></v></c><c r="AZ15" s="30"><f t="shared" si="8"/><v></v></c><c r="BA15" s="30" t="str"><f t="shared" si="8"/><v/></c><c r="BB15" s="30" t="str"><f t="shared" si="8"/><v/></c><c r="BC15" s="30" t="str"><f t="shared" si="8"/><v/></c><c r="BD15" s="29"><f t="shared" si="9"/><v></v></c><c r="BE15" s="26"/><c r="BF15" s="28"><f t="shared" si="10"/><v></v></c><c r="BG15" s="28"><f t="shared" si="10"/><v></v></c><c r="BH15" s="28"><f t="shared" si="10"/><v></v></c><c r="BI15" s="28"><f t="shared" si="10"/><v></v></c><c r="BJ15" s="28" t="str"><f t="shared" si="10"/><v/></c><c r="BK15" s="28" t="str"><f t="shared" si="10"/><v/></c><c r="BL15" s="28" t="str"><f t="shared" si="10"/><v/></c><c r="BM15" s="29"><f t="shared" si="11"/><v></v></c><c r="BN15" s="26"/><c r="BO15" s="28"><f t="shared" si="12"/><v></v></c><c r="BP15" s="28"><f t="shared" si="12"/><v></v></c><c r="BQ15" s="28"><f t="shared" si="12"/><v></v></c><c r="BR15" s="28"><f t="shared" si="12"/><v></v></c><c r="BS15" s="28" t="str"><f t="shared" si="12"/><v/></c><c r="BT15" s="28" t="str"><f t="shared" si="12"/><v/></c><c r="BU15" s="28" t="str"><f t="shared" si="12"/><v/></c><c r="BV15" s="29"><f t="shared" si="13"/><v></v></c><c r="BW15" s="26"/><c r="BX15" s="28" t="str"><f t="shared" si="14"/><v/></c><c r="BY15" s="28" t="str"><f t="shared" si="14"/><v/></c><c r="BZ15" s="28" t="str"><f t="shared" si="14"/><v/></c><c r="CA15" s="28" t="str"><f t="shared" si="14"/><v/></c><c r="CB15" s="28" t="str"><f t="shared" si="14"/><v/></c><c r="CC15" s="28" t="str"><f t="shared" si="14"/><v/></c><c r="CD15" s="28" t="str"><f t="shared" si="14"/><v/></c><c r="CE15" s="29" t="e"><f t="shared" si="15"/><v></v></c><c r="CF15" s="26"/><c r="CG15" s="28"><f t="shared" si="16"/><v></v></c><c r="CH15" s="28"><f t="shared" si="21"/><v></v></c><c r="CI15" s="28"><f t="shared" si="17"/><v></v></c><c r="CJ15" s="28" t="e"><f t="shared" si="18"/><v></v></c><c r="CK15" s="27" t="e"><f t="shared" si="19"/><v></v></c><c r="CL15" s="26"/><c r="CM15" s="26"/><c r="CN15" s="26"/><c r="CO15" s="1"/><c r="CP15" s="1"/><c r="CQ15" s="1"/><c r="CR15" s="1"/><c r="CS15" s="1"/><c r="CT15" s="1"/><c r="CU15" s="1"/><c r="CV15" s="1"/><c r="CW15" s="1"/><c r="CX15" s="1"/><c r="CY15" s="1"/><c r="CZ15" s="1"/><c r="DA15" s="1"/><c r="DB15" s="1"/><c r="DC15" s="1"/><c r="DD15" s="1"/><c r="DE15" s="1"/><c r="DF15" s="1"/><c r="DG15" s="1"/><c r="DH15" s="1"/><c r="DI15" s="1"/><c r="DJ15" s="1"/><c r="DK15" s="1"/><c r="DL15" s="1"/><c r="DM15" s="1"/><c r="DN15" s="1"/><c r="DO15" s="1"/><c r="DP15" s="1"/><c r="DQ15" s="1"/><c r="DR15" s="1"/><c r="DS15" s="1"/><c r="DX15" s="20"/></row><row r="16" spans="1:128" ht="49.95" customHeight="1" thickTop="1" thickBot="1" x14ac:dyDescent="0.35"><c r="A16" s="10"><v>6</v></c><c r="B16" s="72"><is><t>BRAGA FREYRE, ENRIQUE MARTIN</t></is></c><c r="C16" s="35"/><c r="D16" s="11"><is><t>A</t></is></c><c r="E16" s="12"><is><t></t></is></c><c r="F16" s="12"><is><t></t></is></c><c r="G16" s="12"><is><t></t></is></c><c r="H16" s="12"/><c r="I16" s="12"/><c r="J16" s="13"/><c r="K16" s="61"><v>A</v></c><c r="L16" s="66"><is><t>Logra realizar las actividades propuestas de manera satisfactoria.</t></is></c><c r="M16" s="11"><is><t></t></is></c><c r="N16" s="12"><is><t></t></is></c><c r="O16" s="12"><is><t></t></is></c><c r="P16" s="12"><is><t></t></is></c><c r="Q16" s="12"/><c r="R16" s="12"/><c r="S16" s="13"/><c r="T16" s="61"><v></v></c><c r="U16" s="66"><is><t></t></is></c><c r="V16" s="11"><is><t></t></is></c><c r="W16" s="12"><is><t></t></is></c><c r="X16" s="12"><is><t></t></is></c><c r="Y16" s="12"><is><t></t></is></c><c r="Z16" s="12"/><c r="AA16" s="12"/><c r="AB16" s="13"/><c r="AC16" s="61"><v></v></c><c r="AD16" s="66"><is><t></t></is></c><c r="AE16" s="11"/><is><t></t></is></c><c r="AM16" s="66"/><is><t></t></is></c><c r="AP16" s="34"><v></v></c><c r="AQ16" s="34"><v></v></c><c r="AR16" s="33"><v></v></c><c r="AS16" s="32" t="str"><f t="shared" si="20"/><v/></c><c r="AT16" s="79"/><c r="AU16" s="80"/><c r="AV16" s="31"/><c r="AW16" s="30"><f t="shared" si="8"/><v></v></c><c r="AX16" s="30"><f t="shared" si="8"/><v></v></c><c r="AY16" s="30"><f t="shared" si="8"/><v></v></c><c r="AZ16" s="30"><f t="shared" si="8"/><v></v></c><c r="BA16" s="30" t="str"><f t="shared" si="8"/><v/></c><c r="BB16" s="30" t="str"><f t="shared" si="8"/><v/></c><c r="BC16" s="30" t="str"><f t="shared" si="8"/><v/></c><c r="BD16" s="29"><f t="shared" si="9"/><v></v></c><c r="BE16" s="26"/><c r="BF16" s="28"><f t="shared" si="10"/><v></v></c><c r="BG16" s="28"><f t="shared" si="10"/><v></v></c><c r="BH16" s="28"><f t="shared" si="10"/><v></v></c><c r="BI16" s="28"><f t="shared" si="10"/><v></v></c><c r="BJ16" s="28" t="str"><f t="shared" si="10"/><v/></c><c r="BK16" s="28" t="str"><f t="shared" si="10"/><v/></c><c r="BL16" s="28" t="str"><f t="shared" si="10"/><v/></c><c r="BM16" s="29"><f t="shared" si="11"/><v></v></c><c r="BN16" s="26"/><c r="BO16" s="28"><f t="shared" si="12"/><v></v></c><c r="BP16" s="28"><f t="shared" si="12"/><v></v></c><c r="BQ16" s="28"><f t="shared" si="12"/><v></v></c><c r="BR16" s="28"><f t="shared" si="12"/><v></v></c><c r="BS16" s="28" t="str"><f t="shared" si="12"/><v/></c><c r="BT16" s="28" t="str"><f t="shared" si="12"/><v/></c><c r="BU16" s="28" t="str"><f t="shared" si="12"/><v/></c><c r="BV16" s="29"><f t="shared" si="13"/><v></v></c><c r="BW16" s="26"/><c r="BX16" s="28" t="str"><f t="shared" si="14"/><v/></c><c r="BY16" s="28" t="str"><f t="shared" si="14"/><v/></c><c r="BZ16" s="28" t="str"><f t="shared" si="14"/><v/></c><c r="CA16" s="28" t="str"><f t="shared" si="14"/><v/></c><c r="CB16" s="28" t="str"><f t="shared" si="14"/><v/></c><c r="CC16" s="28" t="str"><f t="shared" si="14"/><v/></c><c r="CD16" s="28" t="str"><f t="shared" si="14"/><v/></c><c r="CE16" s="29" t="e"><f t="shared" si="15"/><v></v></c><c r="CF16" s="26"/><c r="CG16" s="28"><f t="shared" si="16"/><v></v></c><c r="CH16" s="28"><f t="shared" si="21"/><v></v></c><c r="CI16" s="28"><f t="shared" si="17"/><v></v></c><c r="CJ16" s="28" t="e"><f t="shared" si="18"/><v></v></c><c r="CK16" s="27" t="e"><f t="shared" si="19"/><v></v></c><c r="CL16" s="26"/><c r="CM16" s="26"/><c r="CN16" s="26"/><c r="CO16" s="1"/><c r="CP16" s="1"/><c r="CQ16" s="1"/><c r="CR16" s="1"/><c r="CS16" s="1"/><c r="CT16" s="1"/><c r="CU16" s="1"/><c r="CV16" s="1"/><c r="CW16" s="1"/><c r="CX16" s="1"/><c r="CY16" s="1"/><c r="CZ16" s="1"/><c r="DA16" s="1"/><c r="DB16" s="1"/><c r="DC16" s="1"/><c r="DD16" s="1"/><c r="DE16" s="1"/><c r="DF16" s="1"/><c r="DG16" s="1"/><c r="DH16" s="1"/><c r="DI16" s="1"/><c r="DJ16" s="1"/><c r="DK16" s="1"/><c r="DL16" s="1"/><c r="DM16" s="1"/><c r="DN16" s="1"/><c r="DO16" s="1"/><c r="DP16" s="1"/><c r="DQ16" s="1"/><c r="DR16" s="1"/><c r="DS16" s="1"/><c r="DX16" s="20"/></row><row r="17" spans="1:128" ht="49.95" customHeight="1" thickTop="1" thickBot="1" x14ac:dyDescent="0.35"><c r="A17" s="10"><v>7</v></c><c r="B17" s="72"><is><t>DAVILA VALDIVIA, LUZ CLARA JESSICA</t></is></c><c r="C17" s="35"/><c r="D17" s="11"><is><t>C</t></is></c><c r="E17" s="12"><is><t></t></is></c><c r="F17" s="12"><is><t></t></is></c><c r="G17" s="12"><is><t></t></is></c><c r="H17" s="12"/><c r="I17" s="12"/><c r="J17" s="13"/><c r="K17" s="61"><v>C</v></c><c r="L17" s="66"><is><t>No logra realizar las actividades propuestas.</t></is></c><c r="M17" s="11"><is><t></t></is></c><c r="N17" s="12"><is><t></t></is></c><c r="O17" s="12"><is><t></t></is></c><c r="P17" s="12"><is><t></t></is></c><c r="Q17" s="12"/><c r="R17" s="12"/><c r="S17" s="13"/><c r="T17" s="61"><v></v></c><c r="U17" s="66"><is><t></t></is></c><c r="V17" s="11"><is><t></t></is></c><c r="W17" s="12"><is><t></t></is></c><c r="X17" s="12"><is><t></t></is></c><c r="Y17" s="12"><is><t></t></is></c><c r="Z17" s="12"/><c r="AA17" s="12"/><c r="AB17" s="13"/><c r="AC17" s="61"><v></v></c><c r="AD17" s="66"><is><t></t></is></c><c r="AE17" s="11"/><is><t></t></is></c><c r="AM17" s="66"/><is><t></t></is></c><c r="AP17" s="34"><v></v></c><c r="AQ17" s="34"><v></v></c><c r="AR17" s="33"><v></v></c><c r="AS17" s="32" t="str"><f t="shared" si="20"/><v/></c><c r="AT17" s="79"/><c r="AU17" s="80"/><c r="AV17" s="31"/><c r="AW17" s="30"><f t="shared" si="8"/><v></v></c><c r="AX17" s="30"><f t="shared" si="8"/><v></v></c><c r="AY17" s="30"><f t="shared" si="8"/><v></v></c><c r="AZ17" s="30"><f t="shared" si="8"/><v></v></c><c r="BA17" s="30" t="str"><f t="shared" si="8"/><v/></c><c r="BB17" s="30" t="str"><f t="shared" si="8"/><v/></c><c r="BC17" s="30" t="str"><f t="shared" si="8"/><v/></c><c r="BD17" s="29"><f t="shared" si="9"/><v></v></c><c r="BE17" s="26"/><c r="BF17" s="28"><f t="shared" si="10"/><v></v></c><c r="BG17" s="28"><f t="shared" si="10"/><v></v></c><c r="BH17" s="28"><f t="shared" si="10"/><v></v></c><c r="BI17" s="28"><f t="shared" si="10"/><v></v></c><c r="BJ17" s="28" t="str"><f t="shared" si="10"/><v/></c><c r="BK17" s="28" t="str"><f t="shared" si="10"/><v/></c><c r="BL17" s="28" t="str"><f t="shared" si="10"/><v/></c><c r="BM17" s="29"><f t="shared" si="11"/><v></v></c><c r="BN17" s="26"/><c r="BO17" s="28"><f t="shared" si="12"/><v></v></c><c r="BP17" s="28"><f t="shared" si="12"/><v></v></c><c r="BQ17" s="28"><f t="shared" si="12"/><v></v></c><c r="BR17" s="28"><f t="shared" si="12"/><v></v></c><c r="BS17" s="28" t="str"><f t="shared" si="12"/><v/></c><c r="BT17" s="28" t="str"><f t="shared" si="12"/><v/></c><c r="BU17" s="28" t="str"><f t="shared" si="12"/><v/></c><c r="BV17" s="29"><f t="shared" si="13"/><v></v></c><c r="BW17" s="26"/><c r="BX17" s="28" t="str"><f t="shared" si="14"/><v/></c><c r="BY17" s="28" t="str"><f t="shared" si="14"/><v/></c><c r="BZ17" s="28" t="str"><f t="shared" si="14"/><v/></c><c r="CA17" s="28" t="str"><f t="shared" si="14"/><v/></c><c r="CB17" s="28" t="str"><f t="shared" si="14"/><v/></c><c r="CC17" s="28" t="str"><f t="shared" si="14"/><v/></c><c r="CD17" s="28" t="str"><f t="shared" si="14"/><v/></c><c r="CE17" s="29" t="e"><f t="shared" si="15"/><v></v></c><c r="CF17" s="26"/><c r="CG17" s="28"><f t="shared" si="16"/><v></v></c><c r="CH17" s="28"><f t="shared" si="21"/><v></v></c><c r="CI17" s="28"><f t="shared" si="17"/><v></v></c><c r="CJ17" s="28" t="e"><f t="shared" si="18"/><v></v></c><c r="CK17" s="27" t="e"><f t="shared" si="19"/><v></v></c><c r="CL17" s="26"/><c r="CM17" s="26"/><c r="CN17" s="26"/><c r="CO17" s="1"/><c r="CP17" s="1"/><c r="CQ17" s="1"/><c r="CR17" s="1"/><c r="CS17" s="1"/><c r="CT17" s="1"/><c r="CU17" s="1"/><c r="CV17" s="1"/><c r="CW17" s="1"/><c r="CX17" s="1"/><c r="CY17" s="1"/><c r="CZ17" s="1"/><c r="DA17" s="1"/><c r="DB17" s="1"/><c r="DC17" s="1"/><c r="DD17" s="1"/><c r="DE17" s="1"/><c r="DF17" s="1"/><c r="DG17" s="1"/><c r="DH17" s="1"/><c r="DI17" s="1"/><c r="DJ17" s="1"/><c r="DK17" s="1"/><c r="DL17" s="1"/><c r="DM17" s="1"/><c r="DN17" s="1"/><c r="DO17" s="1"/><c r="DP17" s="1"/><c r="DQ17" s="1"/><c r="DR17" s="1"/><c r="DS17" s="1"/><c r="DX17" s="20"/></row><row r="18" spans="1:128" ht="49.95" customHeight="1" thickTop="1" thickBot="1" x14ac:dyDescent="0.35"><c r="A18" s="10"><v>8</v></c><c r="B18" s="72"><is><t>FASABI YUMABTO SOFIA GENOVEVA</t></is></c><c r="C18" s="35"/><c r="D18" s="11"><is><t>C</t></is></c><c r="E18" s="12"><is><t></t></is></c><c r="F18" s="12"><is><t></t></is></c><c r="G18" s="12"><is><t></t></is></c><c r="H18" s="12"/><c r="I18" s="12"/><c r="J18" s="13"/><c r="K18" s="61"><v>C</v></c><c r="L18" s="66"><is><t>No logra realizar las actividades propuestas.</t></is></c><c r="M18" s="11"><is><t></t></is></c><c r="N18" s="12"><is><t></t></is></c><c r="O18" s="12"><is><t></t></is></c><c r="P18" s="12"><is><t></t></is></c><c r="Q18" s="12"/><c r="R18" s="12"/><c r="S18" s="13"/><c r="T18" s="61"><v></v></c><c r="U18" s="66"><is><t></t></is></c><c r="V18" s="11"><is><t></t></is></c><c r="W18" s="12"><is><t></t></is></c><c r="X18" s="12"><is><t></t></is></c><c r="Y18" s="12"><is><t></t></is></c><c r="Z18" s="12"/><c r="AA18" s="12"/><c r="AB18" s="13"/><c r="AC18" s="61"><v></v></c><c r="AD18" s="66"><is><t></t></is></c><c r="AE18" s="11"/><is><t></t></is></c><c r="AM18" s="66"/><is><t></t></is></c><c r="AP18" s="34"><v></v></c><c r="AQ18" s="34"><v></v></c><c r="AR18" s="33"><v></v></c><c r="AS18" s="32" t="str"><f t="shared" si="20"/><v/></c><c r="AT18" s="79"/><c r="AU18" s="80"/><c r="AV18" s="31"/><c r="AW18" s="30"><f t="shared" si="8"/><v></v></c><c r="AX18" s="30"><f t="shared" si="8"/><v></v></c><c r="AY18" s="30"><f t="shared" si="8"/><v></v></c><c r="AZ18" s="30"><f t="shared" si="8"/><v></v></c><c r="BA18" s="30" t="str"><f t="shared" si="8"/><v/></c><c r="BB18" s="30" t="str"><f t="shared" si="8"/><v/></c><c r="BC18" s="30" t="str"><f t="shared" si="8"/><v/></c><c r="BD18" s="29"><f t="shared" si="9"/><v></v></c><c r="BE18" s="26"/><c r="BF18" s="28"><f t="shared" si="10"/><v></v></c><c r="BG18" s="28"><f t="shared" si="10"/><v></v></c><c r="BH18" s="28"><f t="shared" si="10"/><v></v></c><c r="BI18" s="28"><f t="shared" si="10"/><v></v></c><c r="BJ18" s="28" t="str"><f t="shared" si="10"/><v/></c><c r="BK18" s="28" t="str"><f t="shared" si="10"/><v/></c><c r="BL18" s="28" t="str"><f t="shared" si="10"/><v/></c><c r="BM18" s="29"><f t="shared" si="11"/><v></v></c><c r="BN18" s="26"/><c r="BO18" s="28"><f t="shared" si="12"/><v></v></c><c r="BP18" s="28"><f t="shared" si="12"/><v></v></c><c r="BQ18" s="28"><f t="shared" si="12"/><v></v></c><c r="BR18" s="28"><f t="shared" si="12"/><v></v></c><c r="BS18" s="28" t="str"><f t="shared" si="12"/><v/></c><c r="BT18" s="28" t="str"><f t="shared" si="12"/><v/></c><c r="BU18" s="28" t="str"><f t="shared" si="12"/><v/></c><c r="BV18" s="29"><f t="shared" si="13"/><v></v></c><c r="BW18" s="26"/><c r="BX18" s="28" t="str"><f t="shared" si="14"/><v/></c><c r="BY18" s="28" t="str"><f t="shared" si="14"/><v/></c><c r="BZ18" s="28" t="str"><f t="shared" si="14"/><v/></c><c r="CA18" s="28" t="str"><f t="shared" si="14"/><v/></c><c r="CB18" s="28" t="str"><f t="shared" si="14"/><v/></c><c r="CC18" s="28" t="str"><f t="shared" si="14"/><v/></c><c r="CD18" s="28" t="str"><f t="shared" si="14"/><v/></c><c r="CE18" s="29" t="e"><f t="shared" si="15"/><v></v></c><c r="CF18" s="26"/><c r="CG18" s="28"><f t="shared" si="16"/><v></v></c><c r="CH18" s="28"><f t="shared" si="21"/><v></v></c><c r="CI18" s="28"><f t="shared" si="17"/><v></v></c><c r="CJ18" s="28" t="e"><f t="shared" si="18"/><v></v></c><c r="CK18" s="27" t="e"><f t="shared" si="19"/><v></v></c><c r="CL18" s="26"/><c r="CM18" s="26"/><c r="CN18" s="26"/><c r="CO18" s="1"/><c r="CP18" s="1"/><c r="CQ18" s="1"/><c r="CR18" s="1"/><c r="CS18" s="1"/><c r="CT18" s="1"/><c r="CU18" s="1"/><c r="CV18" s="1"/><c r="CW18" s="1"/><c r="CX18" s="1"/><c r="CY18" s="1"/><c r="CZ18" s="1"/><c r="DA18" s="1"/><c r="DB18" s="1"/><c r="DC18" s="1"/><c r="DD18" s="1"/><c r="DE18" s="1"/><c r="DF18" s="1"/><c r="DG18" s="1"/><c r="DH18" s="1"/><c r="DI18" s="1"/><c r="DJ18" s="1"/><c r="DK18" s="1"/><c r="DL18" s="1"/><c r="DM18" s="1"/><c r="DN18" s="1"/><c r="DO18" s="1"/><c r="DP18" s="1"/><c r="DQ18" s="1"/><c r="DR18" s="1"/><c r="DS18" s="1"/><c r="DX18" s="20"/></row><row r="19" spans="1:128" ht="49.95" customHeight="1" thickTop="1" thickBot="1" x14ac:dyDescent="0.35"><c r="A19" s="10"><v>9</v></c><c r="B19" s="72"><is><t>GRANDEZ YNUMA, ITZEL YADIRA</t></is></c><c r="C19" s="35"/><c r="D19" s="11"><is><t>C</t></is></c><c r="E19" s="12"><is><t></t></is></c><c r="F19" s="12"><is><t></t></is></c><c r="G19" s="12"><is><t></t></is></c><c r="H19" s="12"/><c r="I19" s="12"/><c r="J19" s="13"/><c r="K19" s="61"><v>C</v></c><c r="L19" s="66"><is><t>No logra realizar las actividades propuestas.</t></is></c><c r="M19" s="11"><is><t></t></is></c><c r="N19" s="12"><is><t></t></is></c><c r="O19" s="12"><is><t></t></is></c><c r="P19" s="12"><is><t></t></is></c><c r="Q19" s="12"/><c r="R19" s="12"/><c r="S19" s="13"/><c r="T19" s="61"><v></v></c><c r="U19" s="66"><is><t></t></is></c><c r="V19" s="11"><is><t></t></is></c><c r="W19" s="12"><is><t></t></is></c><c r="X19" s="12"><is><t></t></is></c><c r="Y19" s="12"><is><t></t></is></c><c r="Z19" s="12"/><c r="AA19" s="12"/><c r="AB19" s="13"/><c r="AC19" s="61"><v></v></c><c r="AD19" s="66"><is><t></t></is></c><c r="AE19" s="11"/><is><t></t></is></c><c r="AM19" s="66"/><is><t></t></is></c><c r="AP19" s="34"><v></v></c><c r="AQ19" s="34"><v></v></c><c r="AR19" s="33"><v></v></c><c r="AS19" s="32" t="str"><f t="shared" si="20"/><v/></c><c r="AT19" s="79"/><c r="AU19" s="80"/><c r="AV19" s="31"/><c r="AW19" s="30"><f t="shared" si="8"/><v></v></c><c r="AX19" s="30"><f t="shared" si="8"/><v></v></c><c r="AY19" s="30"><f t="shared" si="8"/><v></v></c><c r="AZ19" s="30"><f t="shared" si="8"/><v></v></c><c r="BA19" s="30" t="str"><f t="shared" si="8"/><v/></c><c r="BB19" s="30" t="str"><f t="shared" si="8"/><v/></c><c r="BC19" s="30" t="str"><f t="shared" si="8"/><v/></c><c r="BD19" s="29"><f t="shared" si="9"/><v></v></c><c r="BE19" s="26"/><c r="BF19" s="28"><f t="shared" si="10"/><v></v></c><c r="BG19" s="28"><f t="shared" si="10"/><v></v></c><c r="BH19" s="28"><f t="shared" si="10"/><v></v></c><c r="BI19" s="28"><f t="shared" si="10"/><v></v></c><c r="BJ19" s="28" t="str"><f t="shared" si="10"/><v/></c><c r="BK19" s="28" t="str"><f t="shared" si="10"/><v/></c><c r="BL19" s="28" t="str"><f t="shared" si="10"/><v/></c><c r="BM19" s="29"><f t="shared" si="11"/><v></v></c><c r="BN19" s="26"/><c r="BO19" s="28"><f t="shared" si="12"/><v></v></c><c r="BP19" s="28"><f t="shared" si="12"/><v></v></c><c r="BQ19" s="28"><f t="shared" si="12"/><v></v></c><c r="BR19" s="28"><f t="shared" si="12"/><v></v></c><c r="BS19" s="28" t="str"><f t="shared" si="12"/><v/></c><c r="BT19" s="28" t="str"><f t="shared" si="12"/><v/></c><c r="BU19" s="28" t="str"><f t="shared" si="12"/><v/></c><c r="BV19" s="29"><f t="shared" si="13"/><v></v></c><c r="BW19" s="26"/><c r="BX19" s="28" t="str"><f t="shared" si="14"/><v/></c><c r="BY19" s="28" t="str"><f t="shared" si="14"/><v/></c><c r="BZ19" s="28" t="str"><f t="shared" si="14"/><v/></c><c r="CA19" s="28" t="str"><f t="shared" si="14"/><v/></c><c r="CB19" s="28" t="str"><f t="shared" si="14"/><v/></c><c r="CC19" s="28" t="str"><f t="shared" si="14"/><v/></c><c r="CD19" s="28" t="str"><f t="shared" si="14"/><v/></c><c r="CE19" s="29" t="e"><f t="shared" si="15"/><v></v></c><c r="CF19" s="26"/><c r="CG19" s="28"><f t="shared" si="16"/><v></v></c><c r="CH19" s="28"><f t="shared" si="21"/><v></v></c><c r="CI19" s="28"><f t="shared" si="17"/><v></v></c><c r="CJ19" s="28" t="e"><f t="shared" si="18"/><v></v></c><c r="CK19" s="27" t="e"><f t="shared" si="19"/><v></v></c><c r="CL19" s="26"/><c r="CM19" s="26"/><c r="CN19" s="26"/><c r="CO19" s="1"/><c r="CP19" s="1"/><c r="CQ19" s="1"/><c r="CR19" s="1"/><c r="CS19" s="1"/><c r="CT19" s="1"/><c r="CU19" s="1"/><c r="CV19" s="1"/><c r="CW19" s="1"/><c r="CX19" s="1"/><c r="CY19" s="1"/><c r="CZ19" s="1"/><c r="DA19" s="1"/><c r="DB19" s="1"/><c r="DC19" s="1"/><c r="DD19" s="1"/><c r="DE19" s="1"/><c r="DF19" s="1"/><c r="DG19" s="1"/><c r="DH19" s="1"/><c r="DI19" s="1"/><c r="DJ19" s="1"/><c r="DK19" s="1"/><c r="DL19" s="1"/><c r="DM19" s="1"/><c r="DN19" s="1"/><c r="DO19" s="1"/><c r="DP19" s="1"/><c r="DQ19" s="1"/><c r="DR19" s="1"/><c r="DS19" s="1"/><c r="DX19" s="20"/></row><row r="20" spans="1:128" ht="49.95" customHeight="1" thickTop="1" thickBot="1" x14ac:dyDescent="0.35"><c r="A20" s="10"><v>10</v></c><c r="B20" s="72"><is><t>GUERRA ANGULO, JHOSTIN MILLER</t></is></c><c r="C20" s="35"/><c r="D20" s="11"><is><t>A</t></is></c><c r="E20" s="12"><is><t>A</t></is></c><c r="F20" s="12"><is><t></t></is></c><c r="G20" s="12"><is><t></t></is></c><c r="H20" s="12"/><c r="I20" s="12"/><c r="J20" s="13"/><c r="K20" s="61"><v>A</v></c><c r="L20" s="66"><is><t>Logra realizar las actividades propuestas de manera satisfactoria.</t></is></c><c r="M20" s="11"><is><t></t></is></c><c r="N20" s="12"><is><t></t></is></c><c r="O20" s="12"><is><t></t></is></c><c r="P20" s="12"><is><t></t></is></c><c r="Q20" s="12"/><c r="R20" s="12"/><c r="S20" s="13"/><c r="T20" s="61"><v></v></c><c r="U20" s="66"><is><t></t></is></c><c r="V20" s="11"><is><t></t></is></c><c r="W20" s="12"><is><t></t></is></c><c r="X20" s="12"><is><t></t></is></c><c r="Y20" s="12"><is><t></t></is></c><c r="Z20" s="12"/><c r="AA20" s="12"/><c r="AB20" s="13"/><c r="AC20" s="61"><v></v></c><c r="AD20" s="66"><is><t></t></is></c><c r="AE20" s="11"/><is><t></t></is></c><c r="AM20" s="66"/><is><t></t></is></c><c r="AP20" s="34"><v></v></c><c r="AQ20" s="34"><v></v></c><c r="AR20" s="33"><v></v></c><c r="AS20" s="32" t="str"><f t="shared" si="20"/><v/></c><c r="AT20" s="79"/><c r="AU20" s="80"/><c r="AV20" s="31"/><c r="AW20" s="30"><f t="shared" si="8"/><v></v></c><c r="AX20" s="30"><f t="shared" si="8"/><v></v></c><c r="AY20" s="30"><f t="shared" si="8"/><v></v></c><c r="AZ20" s="30"><f t="shared" si="8"/><v></v></c><c r="BA20" s="30" t="str"><f t="shared" si="8"/><v/></c><c r="BB20" s="30" t="str"><f t="shared" si="8"/><v/></c><c r="BC20" s="30" t="str"><f t="shared" si="8"/><v/></c><c r="BD20" s="29"><f t="shared" si="9"/><v></v></c><c r="BE20" s="26"/><c r="BF20" s="28"><f t="shared" si="10"/><v></v></c><c r="BG20" s="28"><f t="shared" si="10"/><v></v></c><c r="BH20" s="28"><f t="shared" si="10"/><v></v></c><c r="BI20" s="28"><f t="shared" si="10"/><v></v></c><c r="BJ20" s="28" t="str"><f t="shared" si="10"/><v/></c><c r="BK20" s="28" t="str"><f t="shared" si="10"/><v/></c><c r="BL20" s="28" t="str"><f t="shared" si="10"/><v/></c><c r="BM20" s="29"><f t="shared" si="11"/><v></v></c><c r="BN20" s="26"/><c r="BO20" s="28"><f t="shared" si="12"/><v></v></c><c r="BP20" s="28"><f t="shared" si="12"/><v></v></c><c r="BQ20" s="28"><f t="shared" si="12"/><v></v></c><c r="BR20" s="28"><f t="shared" si="12"/><v></v></c><c r="BS20" s="28" t="str"><f t="shared" si="12"/><v/></c><c r="BT20" s="28" t="str"><f t="shared" si="12"/><v/></c><c r="BU20" s="28" t="str"><f t="shared" si="12"/><v/></c><c r="BV20" s="29"><f t="shared" si="13"/><v></v></c><c r="BW20" s="26"/><c r="BX20" s="28" t="str"><f t="shared" si="14"/><v/></c><c r="BY20" s="28" t="str"><f t="shared" si="14"/><v/></c><c r="BZ20" s="28" t="str"><f t="shared" si="14"/><v/></c><c r="CA20" s="28" t="str"><f t="shared" si="14"/><v/></c><c r="CB20" s="28" t="str"><f t="shared" si="14"/><v/></c><c r="CC20" s="28" t="str"><f t="shared" si="14"/><v/></c><c r="CD20" s="28" t="str"><f t="shared" si="14"/><v/></c><c r="CE20" s="29" t="e"><f t="shared" si="15"/><v></v></c><c r="CF20" s="26"/><c r="CG20" s="28"><f t="shared" si="16"/><v></v></c><c r="CH20" s="28"><f t="shared" si="21"/><v></v></c><c r="CI20" s="28"><f t="shared" si="17"/><v></v></c><c r="CJ20" s="28" t="e"><f t="shared" si="18"/><v></v></c><c r="CK20" s="27" t="e"><f t="shared" si="19"/><v></v></c><c r="CL20" s="26"/><c r="CM20" s="26"/><c r="CN20" s="26"/><c r="CO20" s="1"/><c r="CP20" s="1"/><c r="CQ20" s="1"/><c r="CR20" s="1"/><c r="CS20" s="1"/><c r="CT20" s="1"/><c r="CU20" s="1"/><c r="CV20" s="1"/><c r="CW20" s="1"/><c r="CX20" s="1"/><c r="CY20" s="1"/><c r="CZ20" s="1"/><c r="DA20" s="1"/><c r="DB20" s="1"/><c r="DC20" s="1"/><c r="DD20" s="1"/><c r="DE20" s="1"/><c r="DF20" s="1"/><c r="DG20" s="1"/><c r="DH20" s="1"/><c r="DI20" s="1"/><c r="DJ20" s="1"/><c r="DK20" s="1"/><c r="DL20" s="1"/><c r="DM20" s="1"/><c r="DN20" s="1"/><c r="DO20" s="1"/><c r="DP20" s="1"/><c r="DQ20" s="1"/><c r="DR20" s="1"/><c r="DS20" s="1"/><c r="DX20" s="20"/></row><row r="21" spans="1:128" ht="49.95" customHeight="1" thickTop="1" thickBot="1" x14ac:dyDescent="0.35"><c r="A21" s="10"><v>11</v></c><c r="B21" s="72"><is><t>GUERRA ARIRAMA SAHORY JANDIR</t></is></c><c r="C21" s="35"/><c r="D21" s="11"><is><t>C</t></is></c><c r="E21" s="12"><is><t></t></is></c><c r="F21" s="12"><is><t></t></is></c><c r="G21" s="12"><is><t></t></is></c><c r="H21" s="12"/><c r="I21" s="12"/><c r="J21" s="13"/><c r="K21" s="61"><v>C</v></c><c r="L21" s="66"><is><t>No logra realizar las actividades propuestas.</t></is></c><c r="M21" s="11"><is><t></t></is></c><c r="N21" s="12"><is><t></t></is></c><c r="O21" s="12"><is><t></t></is></c><c r="P21" s="12"><is><t></t></is></c><c r="Q21" s="12"/><c r="R21" s="12"/><c r="S21" s="13"/><c r="T21" s="61"><v></v></c><c r="U21" s="66"><is><t></t></is></c><c r="V21" s="11"><is><t></t></is></c><c r="W21" s="12"><is><t></t></is></c><c r="X21" s="12"><is><t></t></is></c><c r="Y21" s="12"><is><t></t></is></c><c r="Z21" s="12"/><c r="AA21" s="12"/><c r="AB21" s="13"/><c r="AC21" s="61"><v></v></c><c r="AD21" s="66"><is><t></t></is></c><c r="AE21" s="11"/><is><t></t></is></c><c r="AM21" s="66"/><is><t></t></is></c><c r="AP21" s="34"><v></v></c><c r="AQ21" s="34"><v></v></c><c r="AR21" s="33"><v></v></c><c r="AS21" s="32" t="str"><f t="shared" si="20"/><v/></c><c r="AT21" s="79"/><c r="AU21" s="80"/><c r="AV21" s="31"/><c r="AW21" s="30"><f t="shared" si="8"/><v></v></c><c r="AX21" s="30"><f t="shared" si="8"/><v></v></c><c r="AY21" s="30"><f t="shared" si="8"/><v></v></c><c r="AZ21" s="30"><f t="shared" si="8"/><v></v></c><c r="BA21" s="30" t="str"><f t="shared" si="8"/><v/></c><c r="BB21" s="30" t="str"><f t="shared" si="8"/><v/></c><c r="BC21" s="30" t="str"><f t="shared" si="8"/><v/></c><c r="BD21" s="29"><f t="shared" si="9"/><v></v></c><c r="BE21" s="26"/><c r="BF21" s="28"><f t="shared" si="10"/><v></v></c><c r="BG21" s="28"><f t="shared" si="10"/><v></v></c><c r="BH21" s="28"><f t="shared" si="10"/><v></v></c><c r="BI21" s="28"><f t="shared" si="10"/><v></v></c><c r="BJ21" s="28" t="str"><f t="shared" si="10"/><v/></c><c r="BK21" s="28" t="str"><f t="shared" si="10"/><v/></c><c r="BL21" s="28" t="str"><f t="shared" si="10"/><v/></c><c r="BM21" s="29"><f t="shared" si="11"/><v></v></c><c r="BN21" s="26"/><c r="BO21" s="28"><f t="shared" si="12"/><v></v></c><c r="BP21" s="28"><f t="shared" si="12"/><v></v></c><c r="BQ21" s="28"><f t="shared" si="12"/><v></v></c><c r="BR21" s="28"><f t="shared" si="12"/><v></v></c><c r="BS21" s="28" t="str"><f t="shared" si="12"/><v/></c><c r="BT21" s="28" t="str"><f t="shared" si="12"/><v/></c><c r="BU21" s="28" t="str"><f t="shared" si="12"/><v/></c><c r="BV21" s="29"><f t="shared" si="13"/><v></v></c><c r="BW21" s="26"/><c r="BX21" s="28" t="str"><f t="shared" si="14"/><v/></c><c r="BY21" s="28" t="str"><f t="shared" si="14"/><v/></c><c r="BZ21" s="28" t="str"><f t="shared" si="14"/><v/></c><c r="CA21" s="28" t="str"><f t="shared" si="14"/><v/></c><c r="CB21" s="28" t="str"><f t="shared" si="14"/><v/></c><c r="CC21" s="28" t="str"><f t="shared" si="14"/><v/></c><c r="CD21" s="28" t="str"><f t="shared" si="14"/><v/></c><c r="CE21" s="29" t="e"><f t="shared" si="15"/><v></v></c><c r="CF21" s="26"/><c r="CG21" s="28"><f t="shared" si="16"/><v></v></c><c r="CH21" s="28"><f t="shared" si="21"/><v></v></c><c r="CI21" s="28"><f t="shared" si="17"/><v></v></c><c r="CJ21" s="28" t="e"><f t="shared" si="18"/><v></v></c><c r="CK21" s="27" t="e"><f t="shared" si="19"/><v></v></c><c r="CL21" s="26"/><c r="CM21" s="26"/><c r="CN21" s="26"/><c r="CO21" s="1"/><c r="CP21" s="1"/><c r="CQ21" s="1"/><c r="CR21" s="1"/><c r="CS21" s="1"/><c r="CT21" s="1"/><c r="CU21" s="1"/><c r="CV21" s="1"/><c r="CW21" s="1"/><c r="CX21" s="1"/><c r="CY21" s="1"/><c r="CZ21" s="1"/><c r="DA21" s="1"/><c r="DB21" s="1"/><c r="DC21" s="1"/><c r="DD21" s="1"/><c r="DE21" s="1"/><c r="DF21" s="1"/><c r="DG21" s="1"/><c r="DH21" s="1"/><c r="DI21" s="1"/><c r="DJ21" s="1"/><c r="DK21" s="1"/><c r="DL21" s="1"/><c r="DM21" s="1"/><c r="DN21" s="1"/><c r="DO21" s="1"/><c r="DP21" s="1"/><c r="DQ21" s="1"/><c r="DR21" s="1"/><c r="DS21" s="1"/><c r="DX21" s="20"/></row><row r="22" spans="1:128" ht="49.95" customHeight="1" thickTop="1" thickBot="1" x14ac:dyDescent="0.35"><c r="A22" s="10"><v>12</v></c><c r="B22" s="72"><is><t>HERRERA TANGOA ANGY NICOL</t></is></c><c r="C22" s="35"/><c r="D22" s="11"><is><t>C</t></is></c><c r="E22" s="12"><is><t>C</t></is></c><c r="F22" s="12"><is><t></t></is></c><c r="G22" s="12"><is><t></t></is></c><c r="H22" s="12"/><c r="I22" s="12"/><c r="J22" s="13"/><c r="K22" s="61"><v>C</v></c><c r="L22" s="66"><is><t>No logra realizar las actividades propuestas.</t></is></c><c r="M22" s="11"><is><t></t></is></c><c r="N22" s="12"><is><t></t></is></c><c r="O22" s="12"><is><t></t></is></c><c r="P22" s="12"><is><t></t></is></c><c r="Q22" s="12"/><c r="R22" s="12"/><c r="S22" s="13"/><c r="T22" s="61"><v></v></c><c r="U22" s="66"><is><t></t></is></c><c r="V22" s="11"><is><t></t></is></c><c r="W22" s="12"><is><t></t></is></c><c r="X22" s="12"><is><t></t></is></c><c r="Y22" s="12"><is><t></t></is></c><c r="Z22" s="12"/><c r="AA22" s="12"/><c r="AB22" s="13"/><c r="AC22" s="61"><v></v></c><c r="AD22" s="66"><is><t></t></is></c><c r="AE22" s="11"/><is><t></t></is></c><c r="AM22" s="66"/><is><t></t></is></c><c r="AP22" s="34"><v></v></c><c r="AQ22" s="34"><v></v></c><c r="AR22" s="33"><v></v></c><c r="AS22" s="32" t="str"><f t="shared" si="20"/><v/></c><c r="AT22" s="79"/><c r="AU22" s="80"/><c r="AV22" s="31"/><c r="AW22" s="30"><f t="shared" si="8"/><v></v></c><c r="AX22" s="30"><f t="shared" si="8"/><v></v></c><c r="AY22" s="30"><f t="shared" si="8"/><v></v></c><c r="AZ22" s="30"><f t="shared" si="8"/><v></v></c><c r="BA22" s="30" t="str"><f t="shared" si="8"/><v/></c><c r="BB22" s="30" t="str"><f t="shared" si="8"/><v/></c><c r="BC22" s="30" t="str"><f t="shared" si="8"/><v/></c><c r="BD22" s="29"><f t="shared" si="9"/><v></v></c><c r="BE22" s="26"/><c r="BF22" s="28"><f t="shared" si="10"/><v></v></c><c r="BG22" s="28"><f t="shared" si="10"/><v></v></c><c r="BH22" s="28"><f t="shared" si="10"/><v></v></c><c r="BI22" s="28"><f t="shared" si="10"/><v></v></c><c r="BJ22" s="28" t="str"><f t="shared" si="10"/><v/></c><c r="BK22" s="28" t="str"><f t="shared" si="10"/><v/></c><c r="BL22" s="28" t="str"><f t="shared" si="10"/><v/></c><c r="BM22" s="29"><f t="shared" si="11"/><v></v></c><c r="BN22" s="26"/><c r="BO22" s="28"><f t="shared" si="12"/><v></v></c><c r="BP22" s="28"><f t="shared" si="12"/><v></v></c><c r="BQ22" s="28"><f t="shared" si="12"/><v></v></c><c r="BR22" s="28"><f t="shared" si="12"/><v></v></c><c r="BS22" s="28" t="str"><f t="shared" si="12"/><v/></c><c r="BT22" s="28" t="str"><f t="shared" si="12"/><v/></c><c r="BU22" s="28" t="str"><f t="shared" si="12"/><v/></c><c r="BV22" s="29"><f t="shared" si="13"/><v></v></c><c r="BW22" s="26"/><c r="BX22" s="28" t="str"><f t="shared" si="14"/><v/></c><c r="BY22" s="28" t="str"><f t="shared" si="14"/><v/></c><c r="BZ22" s="28" t="str"><f t="shared" si="14"/><v/></c><c r="CA22" s="28" t="str"><f t="shared" si="14"/><v/></c><c r="CB22" s="28" t="str"><f t="shared" si="14"/><v/></c><c r="CC22" s="28" t="str"><f t="shared" si="14"/><v/></c><c r="CD22" s="28" t="str"><f t="shared" si="14"/><v/></c><c r="CE22" s="29" t="e"><f t="shared" si="15"/><v></v></c><c r="CF22" s="26"/><c r="CG22" s="28"><f t="shared" si="16"/><v></v></c><c r="CH22" s="28"><f t="shared" si="21"/><v></v></c><c r="CI22" s="28"><f t="shared" si="17"/><v></v></c><c r="CJ22" s="28" t="e"><f t="shared" si="18"/><v></v></c><c r="CK22" s="27" t="e"><f t="shared" si="19"/><v></v></c><c r="CL22" s="26"/><c r="CM22" s="26"/><c r="CN22" s="26"/><c r="CO22" s="1"/><c r="CP22" s="1"/><c r="CQ22" s="1"/><c r="CR22" s="1"/><c r="CS22" s="1"/><c r="CT22" s="1"/><c r="CU22" s="1"/><c r="CV22" s="1"/><c r="CW22" s="1"/><c r="CX22" s="1"/><c r="CY22" s="1"/><c r="CZ22" s="1"/><c r="DA22" s="1"/><c r="DB22" s="1"/><c r="DC22" s="1"/><c r="DD22" s="1"/><c r="DE22" s="1"/><c r="DF22" s="1"/><c r="DG22" s="1"/><c r="DH22" s="1"/><c r="DI22" s="1"/><c r="DJ22" s="1"/><c r="DK22" s="1"/><c r="DL22" s="1"/><c r="DM22" s="1"/><c r="DN22" s="1"/><c r="DO22" s="1"/><c r="DP22" s="1"/><c r="DQ22" s="1"/><c r="DR22" s="1"/><c r="DS22" s="1"/><c r="DX22" s="20"/></row><row r="23" spans="1:128" ht="49.95" customHeight="1" thickTop="1" thickBot="1" x14ac:dyDescent="0.35"><c r="A23" s="10"><v>13</v></c><c r="B23" s="72"><is><t>HIDALGO VALLES, DAYANA</t></is></c><c r="C23" s="35"/><c r="D23" s="11"><is><t>A</t></is></c><c r="E23" s="12"><is><t>AD</t></is></c><c r="F23" s="12"><is><t></t></is></c><c r="G23" s="12"><is><t></t></is></c><c r="H23" s="12"/><c r="I23" s="12"/><c r="J23" s="13"/><c r="K23" s="61"><v>AD</v></c><c r="L23" s="66"><is><t>Logra realizar las actividades propuestas de manera destacada, demostrando un dominio excelente.</t></is></c><c r="M23" s="11"><is><t></t></is></c><c r="N23" s="12"><is><t></t></is></c><c r="O23" s="12"><is><t></t></is></c><c r="P23" s="12"><is><t></t></is></c><c r="Q23" s="12"/><c r="R23" s="12"/><c r="S23" s="13"/><c r="T23" s="61"><v></v></c><c r="U23" s="66"><is><t></t></is></c><c r="V23" s="11"><is><t></t></is></c><c r="W23" s="12"><is><t></t></is></c><c r="X23" s="12"><is><t></t></is></c><c r="Y23" s="12"><is><t></t></is></c><c r="Z23" s="12"/><c r="AA23" s="12"/><c r="AB23" s="13"/><c r="AC23" s="61"><v></v></c><c r="AD23" s="66"><is><t></t></is></c><c r="AE23" s="11"/><is><t></t></is></c><c r="AM23" s="66"/><is><t></t></is></c><c r="AP23" s="34"><v></v></c><c r="AQ23" s="34"><v></v></c><c r="AR23" s="33"><v></v></c><c r="AS23" s="32" t="str"><f t="shared" si="20"/><v/></c><c r="AT23" s="79"/><c r="AU23" s="80"/><c r="AV23" s="31"/><c r="AW23" s="30"><f t="shared" si="8"/><v></v></c><c r="AX23" s="30"><f t="shared" si="8"/><v></v></c><c r="AY23" s="30"><f t="shared" si="8"/><v></v></c><c r="AZ23" s="30"><f t="shared" si="8"/><v></v></c><c r="BA23" s="30" t="str"><f t="shared" si="8"/><v/></c><c r="BB23" s="30" t="str"><f t="shared" si="8"/><v/></c><c r="BC23" s="30" t="str"><f t="shared" si="8"/><v/></c><c r="BD23" s="29"><f t="shared" si="9"/><v></v></c><c r="BE23" s="26"/><c r="BF23" s="28"><f t="shared" si="10"/><v></v></c><c r="BG23" s="28"><f t="shared" si="10"/><v></v></c><c r="BH23" s="28"><f t="shared" si="10"/><v></v></c><c r="BI23" s="28"><f t="shared" si="10"/><v></v></c><c r="BJ23" s="28" t="str"><f t="shared" si="10"/><v/></c><c r="BK23" s="28" t="str"><f t="shared" si="10"/><v/></c><c r="BL23" s="28" t="str"><f t="shared" si="10"/><v/></c><c r="BM23" s="29"><f t="shared" si="11"/><v></v></c><c r="BN23" s="26"/><c r="BO23" s="28"><f t="shared" si="12"/><v></v></c><c r="BP23" s="28"><f t="shared" si="12"/><v></v></c><c r="BQ23" s="28"><f t="shared" si="12"/><v></v></c><c r="BR23" s="28"><f t="shared" si="12"/><v></v></c><c r="BS23" s="28" t="str"><f t="shared" si="12"/><v/></c><c r="BT23" s="28" t="str"><f t="shared" si="12"/><v/></c><c r="BU23" s="28" t="str"><f t="shared" si="12"/><v/></c><c r="BV23" s="29"><f t="shared" si="13"/><v></v></c><c r="BW23" s="26"/><c r="BX23" s="28" t="str"><f t="shared" si="14"/><v/></c><c r="BY23" s="28" t="str"><f t="shared" si="14"/><v/></c><c r="BZ23" s="28" t="str"><f t="shared" si="14"/><v/></c><c r="CA23" s="28" t="str"><f t="shared" si="14"/><v/></c><c r="CB23" s="28" t="str"><f t="shared" si="14"/><v/></c><c r="CC23" s="28" t="str"><f t="shared" si="14"/><v/></c><c r="CD23" s="28" t="str"><f t="shared" si="14"/><v/></c><c r="CE23" s="29" t="e"><f t="shared" si="15"/><v></v></c><c r="CF23" s="26"/><c r="CG23" s="28"><f t="shared" si="16"/><v></v></c><c r="CH23" s="28"><f t="shared" si="21"/><v></v></c><c r="CI23" s="28"><f t="shared" si="17"/><v></v></c><c r="CJ23" s="28" t="e"><f t="shared" si="18"/><v></v></c><c r="CK23" s="27" t="e"><f t="shared" si="19"/><v></v></c><c r="CL23" s="26"/><c r="CM23" s="26"/><c r="CN23" s="26"/><c r="CO23" s="1"/><c r="CP23" s="1"/><c r="CQ23" s="1"/><c r="CR23" s="1"/><c r="CS23" s="1"/><c r="CT23" s="1"/><c r="CU23" s="1"/><c r="CV23" s="1"/><c r="CW23" s="1"/><c r="CX23" s="1"/><c r="CY23" s="1"/><c r="CZ23" s="1"/><c r="DA23" s="1"/><c r="DB23" s="1"/><c r="DC23" s="1"/><c r="DD23" s="1"/><c r="DE23" s="1"/><c r="DF23" s="1"/><c r="DG23" s="1"/><c r="DH23" s="1"/><c r="DI23" s="1"/><c r="DJ23" s="1"/><c r="DK23" s="1"/><c r="DL23" s="1"/><c r="DM23" s="1"/><c r="DN23" s="1"/><c r="DO23" s="1"/><c r="DP23" s="1"/><c r="DQ23" s="1"/><c r="DR23" s="1"/><c r="DS23" s="1"/><c r="DX23" s="20"/></row><row r="24" spans="1:128" ht="49.95" customHeight="1" thickTop="1" thickBot="1" x14ac:dyDescent="0.35"><c r="A24" s="10"><v>14</v></c><c r="B24" s="72"><is><t>HUANSI ACUÑA MAR JHORDAN</t></is></c><c r="C24" s="35"/><c r="D24" s="11"><is><t>C</t></is></c><c r="E24" s="12"><is><t></t></is></c><c r="F24" s="12"><is><t></t></is></c><c r="G24" s="12"><is><t></t></is></c><c r="H24" s="12"/><c r="I24" s="12"/><c r="J24" s="13"/><c r="K24" s="61"><v>C</v></c><c r="L24" s="66"><is><t>No logra realizar las actividades propuestas.</t></is></c><c r="M24" s="11"><is><t></t></is></c><c r="N24" s="12"><is><t></t></is></c><c r="O24" s="12"><is><t></t></is></c><c r="P24" s="12"><is><t></t></is></c><c r="Q24" s="12"/><c r="R24" s="12"/><c r="S24" s="13"/><c r="T24" s="61"><v></v></c><c r="U24" s="66"><is><t></t></is></c><c r="V24" s="11"><is><t></t></is></c><c r="W24" s="12"><is><t></t></is></c><c r="X24" s="12"><is><t></t></is></c><c r="Y24" s="12"><is><t></t></is></c><c r="Z24" s="12"/><c r="AA24" s="12"/><c r="AB24" s="13"/><c r="AC24" s="61"><v></v></c><c r="AD24" s="66"><is><t></t></is></c><c r="AE24" s="11"/><is><t></t></is></c><c r="AM24" s="66"/><is><t></t></is></c><c r="AP24" s="34"><v></v></c><c r="AQ24" s="34"><v></v></c><c r="AR24" s="33"><v></v></c><c r="AS24" s="32" t="str"><f t="shared" si="20"/><v/></c><c r="AT24" s="79"/><c r="AU24" s="80"/><c r="AV24" s="31"/><c r="AW24" s="30"><f t="shared" si="8"/><v></v></c><c r="AX24" s="30"><f t="shared" si="8"/><v></v></c><c r="AY24" s="30"><f t="shared" si="8"/><v></v></c><c r="AZ24" s="30"><f t="shared" si="8"/><v></v></c><c r="BA24" s="30" t="str"><f t="shared" si="8"/><v/></c><c r="BB24" s="30" t="str"><f t="shared" si="8"/><v/></c><c r="BC24" s="30" t="str"><f t="shared" si="8"/><v/></c><c r="BD24" s="29"><f t="shared" si="9"/><v></v></c><c r="BE24" s="26"/><c r="BF24" s="28"><f t="shared" si="10"/><v></v></c><c r="BG24" s="28"><f t="shared" si="10"/><v></v></c><c r="BH24" s="28"><f t="shared" si="10"/><v></v></c><c r="BI24" s="28"><f t="shared" si="10"/><v></v></c><c r="BJ24" s="28" t="str"><f t="shared" si="10"/><v/></c><c r="BK24" s="28" t="str"><f t="shared" si="10"/><v/></c><c r="BL24" s="28" t="str"><f t="shared" si="10"/><v/></c><c r="BM24" s="29"><f t="shared" si="11"/><v></v></c><c r="BN24" s="26"/><c r="BO24" s="28"><f t="shared" si="12"/><v></v></c><c r="BP24" s="28"><f t="shared" si="12"/><v></v></c><c r="BQ24" s="28"><f t="shared" si="12"/><v></v></c><c r="BR24" s="28"><f t="shared" si="12"/><v></v></c><c r="BS24" s="28" t="str"><f t="shared" si="12"/><v/></c><c r="BT24" s="28" t="str"><f t="shared" si="12"/><v/></c><c r="BU24" s="28" t="str"><f t="shared" si="12"/><v/></c><c r="BV24" s="29"><f t="shared" si="13"/><v></v></c><c r="BW24" s="26"/><c r="BX24" s="28" t="str"><f t="shared" si="14"/><v/></c><c r="BY24" s="28" t="str"><f t="shared" si="14"/><v/></c><c r="BZ24" s="28" t="str"><f t="shared" si="14"/><v/></c><c r="CA24" s="28" t="str"><f t="shared" si="14"/><v/></c><c r="CB24" s="28" t="str"><f t="shared" si="14"/><v/></c><c r="CC24" s="28" t="str"><f t="shared" si="14"/><v/></c><c r="CD24" s="28" t="str"><f t="shared" si="14"/><v/></c><c r="CE24" s="29" t="e"><f t="shared" si="15"/><v></v></c><c r="CF24" s="26"/><c r="CG24" s="28"><f t="shared" si="16"/><v></v></c><c r="CH24" s="28"><f t="shared" si="21"/><v></v></c><c r="CI24" s="28"><f t="shared" si="17"/><v></v></c><c r="CJ24" s="28" t="e"><f t="shared" si="18"/><v></v></c><c r="CK24" s="27" t="e"><f t="shared" si="19"/><v></v></c><c r="CL24" s="26"/><c r="CM24" s="26"/><c r="CN24" s="26"/><c r="CO24" s="1"/><c r="CP24" s="1"/><c r="CQ24" s="1"/><c r="CR24" s="1"/><c r="CS24" s="1"/><c r="CT24" s="1"/><c r="CU24" s="1"/><c r="CV24" s="1"/><c r="CW24" s="1"/><c r="CX24" s="1"/><c r="CY24" s="1"/><c r="CZ24" s="1"/><c r="DA24" s="1"/><c r="DB24" s="1"/><c r="DC24" s="1"/><c r="DD24" s="1"/><c r="DE24" s="1"/><c r="DF24" s="1"/><c r="DG24" s="1"/><c r="DH24" s="1"/><c r="DI24" s="1"/><c r="DJ24" s="1"/><c r="DK24" s="1"/><c r="DL24" s="1"/><c r="DM24" s="1"/><c r="DN24" s="1"/><c r="DO24" s="1"/><c r="DP24" s="1"/><c r="DQ24" s="1"/><c r="DR24" s="1"/><c r="DS24" s="1"/><c r="DX24" s="20"/></row><row r="25" spans="1:128" ht="49.95" customHeight="1" thickTop="1" thickBot="1" x14ac:dyDescent="0.35"><c r="A25" s="10"><v>15</v></c><c r="B25" s="72"><is><t>INSAPILLO VÁSQUEZ JHON RIVER</t></is></c><c r="C25" s="35"/><c r="D25" s="11"><is><t>B</t></is></c><c r="E25" s="12"><is><t></t></is></c><c r="F25" s="12"><is><t></t></is></c><c r="G25" s="12"><is><t></t></is></c><c r="H25" s="12"/><c r="I25" s="12"/><c r="J25" s="13"/><c r="K25" s="61"><v>B</v></c><c r="L25" s="66"><is><t>Presenta dificultades para realizar las actividades propuestas.</t></is></c><c r="M25" s="11"><is><t></t></is></c><c r="N25" s="12"><is><t></t></is></c><c r="O25" s="12"><is><t></t></is></c><c r="P25" s="12"><is><t></t></is></c><c r="Q25" s="12"/><c r="R25" s="12"/><c r="S25" s="13"/><c r="T25" s="61"><v></v></c><c r="U25" s="66"><is><t></t></is></c><c r="V25" s="11"><is><t></t></is></c><c r="W25" s="12"><is><t></t></is></c><c r="X25" s="12"><is><t></t></is></c><c r="Y25" s="12"><is><t></t></is></c><c r="Z25" s="12"/><c r="AA25" s="12"/><c r="AB25" s="13"/><c r="AC25" s="61"><v></v></c><c r="AD25" s="66"><is><t></t></is></c><c r="AE25" s="11"/><is><t></t></is></c><c r="AM25" s="66"/><is><t></t></is></c><c r="AP25" s="34"><v></v></c><c r="AQ25" s="34"><v></v></c><c r="AR25" s="33"><v></v></c><c r="AS25" s="32" t="str"><f t="shared" si="20"/><v/></c><c r="AT25" s="79"/><c r="AU25" s="80"/><c r="AV25" s="31"/><c r="AW25" s="30"><f t="shared" si="8"/><v></v></c><c r="AX25" s="30"><f t="shared" si="8"/><v></v></c><c r="AY25" s="30"><f t="shared" si="8"/><v></v></c><c r="AZ25" s="30"><f t="shared" si="8"/><v></v></c><c r="BA25" s="30" t="str"><f t="shared" si="8"/><v/></c><c r="BB25" s="30" t="str"><f t="shared" si="8"/><v/></c><c r="BC25" s="30" t="str"><f t="shared" si="8"/><v/></c><c r="BD25" s="29"><f t="shared" si="9"/><v></v></c><c r="BE25" s="26"/><c r="BF25" s="28"><f t="shared" si="10"/><v></v></c><c r="BG25" s="28"><f t="shared" si="10"/><v></v></c><c r="BH25" s="28"><f t="shared" si="10"/><v></v></c><c r="BI25" s="28"><f t="shared" si="10"/><v></v></c><c r="BJ25" s="28" t="str"><f t="shared" si="10"/><v/></c><c r="BK25" s="28" t="str"><f t="shared" si="10"/><v/></c><c r="BL25" s="28" t="str"><f t="shared" si="10"/><v/></c><c r="BM25" s="29"><f t="shared" si="11"/><v></v></c><c r="BN25" s="26"/><c r="BO25" s="28"><f t="shared" si="12"/><v></v></c><c r="BP25" s="28"><f t="shared" si="12"/><v></v></c><c r="BQ25" s="28"><f t="shared" si="12"/><v></v></c><c r="BR25" s="28"><f t="shared" si="12"/><v></v></c><c r="BS25" s="28" t="str"><f t="shared" si="12"/><v/></c><c r="BT25" s="28" t="str"><f t="shared" si="12"/><v/></c><c r="BU25" s="28" t="str"><f t="shared" si="12"/><v/></c><c r="BV25" s="29"><f t="shared" si="13"/><v></v></c><c r="BW25" s="26"/><c r="BX25" s="28" t="str"><f t="shared" si="14"/><v/></c><c r="BY25" s="28" t="str"><f t="shared" si="14"/><v/></c><c r="BZ25" s="28" t="str"><f t="shared" si="14"/><v/></c><c r="CA25" s="28" t="str"><f t="shared" si="14"/><v/></c><c r="CB25" s="28" t="str"><f t="shared" si="14"/><v/></c><c r="CC25" s="28" t="str"><f t="shared" si="14"/><v/></c><c r="CD25" s="28" t="str"><f t="shared" si="14"/><v/></c><c r="CE25" s="29" t="e"><f t="shared" si="15"/><v></v></c><c r="CF25" s="26"/><c r="CG25" s="28"><f t="shared" si="16"/><v></v></c><c r="CH25" s="28"><f t="shared" si="21"/><v></v></c><c r="CI25" s="28"><f t="shared" si="17"/><v></v></c><c r="CJ25" s="28" t="e"><f t="shared" si="18"/><v></v></c><c r="CK25" s="27" t="e"><f t="shared" si="19"/><v></v></c><c r="CL25" s="26"/><c r="CM25" s="26"/><c r="CN25" s="26"/><c r="CO25" s="1"/><c r="CP25" s="1"/><c r="CQ25" s="1"/><c r="CR25" s="1"/><c r="CS25" s="1"/><c r="CT25" s="1"/><c r="CU25" s="1"/><c r="CV25" s="1"/><c r="CW25" s="1"/><c r="CX25" s="1"/><c r="CY25" s="1"/><c r="CZ25" s="1"/><c r="DA25" s="1"/><c r="DB25" s="1"/><c r="DC25" s="1"/><c r="DD25" s="1"/><c r="DE25" s="1"/><c r="DF25" s="1"/><c r="DG25" s="1"/><c r="DH25" s="1"/><c r="DI25" s="1"/><c r="DJ25" s="1"/><c r="DK25" s="1"/><c r="DL25" s="1"/><c r="DM25" s="1"/><c r="DN25" s="1"/><c r="DO25" s="1"/><c r="DP25" s="1"/><c r="DQ25" s="1"/><c r="DR25" s="1"/><c r="DS25" s="1"/><c r="DX25" s="20"/></row><row r="26" spans="1:128" ht="49.95" customHeight="1" thickTop="1" thickBot="1" x14ac:dyDescent="0.35"><c r="A26" s="10"><v>16</v></c><c r="B26" s="72"><is><t>INUMA LOPEZ, ADRIAN</t></is></c><c r="C26" s="35"/><c r="D26" s="11"><is><t>B</t></is></c><c r="E26" s="12"><is><t>C</t></is></c><c r="F26" s="12"><is><t></t></is></c><c r="G26" s="12"><is><t></t></is></c><c r="H26" s="12"/><c r="I26" s="12"/><c r="J26" s="13"/><c r="K26" s="61"><v>B</v></c><c r="L26" s="66"><is><t>Presenta dificultades para realizar las actividades propuestas.</t></is></c><c r="M26" s="11"><is><t></t></is></c><c r="N26" s="12"><is><t></t></is></c><c r="O26" s="12"><is><t></t></is></c><c r="P26" s="12"><is><t></t></is></c><c r="Q26" s="12"/><c r="R26" s="12"/><c r="S26" s="13"/><c r="T26" s="61"><v></v></c><c r="U26" s="66"><is><t></t></is></c><c r="V26" s="11"><is><t></t></is></c><c r="W26" s="12"><is><t></t></is></c><c r="X26" s="12"><is><t></t></is></c><c r="Y26" s="12"><is><t></t></is></c><c r="Z26" s="12"/><c r="AA26" s="12"/><c r="AB26" s="13"/><c r="AC26" s="61"><v></v></c><c r="AD26" s="66"><is><t></t></is></c><c r="AE26" s="11"/><is><t></t></is></c><c r="AM26" s="66"/><is><t></t></is></c><c r="AP26" s="34"><v></v></c><c r="AQ26" s="34"><v></v></c><c r="AR26" s="33"><v></v></c><c r="AS26" s="32" t="str"><f t="shared" si="20"/><v/></c><c r="AT26" s="79"/><c r="AU26" s="80"/><c r="AV26" s="31"/><c r="AW26" s="30"><f t="shared" si="8"/><v></v></c><c r="AX26" s="30"><f t="shared" si="8"/><v></v></c><c r="AY26" s="30"><f t="shared" si="8"/><v></v></c><c r="AZ26" s="30"><f t="shared" si="8"/><v></v></c><c r="BA26" s="30" t="str"><f t="shared" si="8"/><v/></c><c r="BB26" s="30" t="str"><f t="shared" si="8"/><v/></c><c r="BC26" s="30" t="str"><f t="shared" si="8"/><v/></c><c r="BD26" s="29"><f t="shared" si="9"/><v></v></c><c r="BE26" s="26"/><c r="BF26" s="28"><f t="shared" si="10"/><v></v></c><c r="BG26" s="28"><f t="shared" si="10"/><v></v></c><c r="BH26" s="28"><f t="shared" si="10"/><v></v></c><c r="BI26" s="28"><f t="shared" si="10"/><v></v></c><c r="BJ26" s="28" t="str"><f t="shared" si="10"/><v/></c><c r="BK26" s="28" t="str"><f t="shared" si="10"/><v/></c><c r="BL26" s="28" t="str"><f t="shared" si="10"/><v/></c><c r="BM26" s="29"><f t="shared" si="11"/><v></v></c><c r="BN26" s="26"/><c r="BO26" s="28"><f t="shared" si="12"/><v></v></c><c r="BP26" s="28"><f t="shared" si="12"/><v></v></c><c r="BQ26" s="28"><f t="shared" si="12"/><v></v></c><c r="BR26" s="28"><f t="shared" si="12"/><v></v></c><c r="BS26" s="28" t="str"><f t="shared" si="12"/><v/></c><c r="BT26" s="28" t="str"><f t="shared" si="12"/><v/></c><c r="BU26" s="28" t="str"><f t="shared" si="12"/><v/></c><c r="BV26" s="29"><f t="shared" si="13"/><v></v></c><c r="BW26" s="26"/><c r="BX26" s="28" t="str"><f t="shared" si="14"/><v/></c><c r="BY26" s="28" t="str"><f t="shared" si="14"/><v/></c><c r="BZ26" s="28" t="str"><f t="shared" si="14"/><v/></c><c r="CA26" s="28" t="str"><f t="shared" si="14"/><v/></c><c r="CB26" s="28" t="str"><f t="shared" si="14"/><v/></c><c r="CC26" s="28" t="str"><f t="shared" si="14"/><v/></c><c r="CD26" s="28" t="str"><f t="shared" si="14"/><v/></c><c r="CE26" s="29" t="e"><f t="shared" si="15"/><v></v></c><c r="CF26" s="26"/><c r="CG26" s="28"><f t="shared" si="16"/><v></v></c><c r="CH26" s="28"><f t="shared" si="21"/><v></v></c><c r="CI26" s="28"><f t="shared" si="17"/><v></v></c><c r="CJ26" s="28" t="e"><f t="shared" si="18"/><v></v></c><c r="CK26" s="27" t="e"><f t="shared" si="19"/><v></v></c><c r="CL26" s="26"/><c r="CM26" s="26"/><c r="CN26" s="26"/><c r="CO26" s="1"/><c r="CP26" s="1"/><c r="CQ26" s="1"/><c r="CR26" s="1"/><c r="CS26" s="1"/><c r="CT26" s="1"/><c r="CU26" s="1"/><c r="CV26" s="1"/><c r="CW26" s="1"/><c r="CX26" s="1"/><c r="CY26" s="1"/><c r="CZ26" s="1"/><c r="DA26" s="1"/><c r="DB26" s="1"/><c r="DC26" s="1"/><c r="DD26" s="1"/><c r="DE26" s="1"/><c r="DF26" s="1"/><c r="DG26" s="1"/><c r="DH26" s="1"/><c r="DI26" s="1"/><c r="DJ26" s="1"/><c r="DK26" s="1"/><c r="DL26" s="1"/><c r="DM26" s="1"/><c r="DN26" s="1"/><c r="DO26" s="1"/><c r="DP26" s="1"/><c r="DQ26" s="1"/><c r="DR26" s="1"/><c r="DS26" s="1"/><c r="DX26" s="20"/></row><row r="27" spans="1:128" ht="49.95" customHeight="1" thickTop="1" thickBot="1" x14ac:dyDescent="0.35"><c r="A27" s="10"><v>17</v></c><c r="B27" s="72"><is><t>LICETA VARGAS, JUANA MISHELL</t></is></c><c r="C27" s="35"/><c r="D27" s="11"><is><t>A</t></is></c><c r="E27" s="12"><is><t>AD</t></is></c><c r="F27" s="12"><is><t></t></is></c><c r="G27" s="12"><is><t></t></is></c><c r="H27" s="12"/><c r="I27" s="12"/><c r="J27" s="13"/><c r="K27" s="61"><v>AD</v></c><c r="L27" s="66"><is><t>Logra realizar las actividades propuestas de manera destacada, demostrando un dominio excelente.</t></is></c><c r="M27" s="11"><is><t></t></is></c><c r="N27" s="12"><is><t></t></is></c><c r="O27" s="12"><is><t></t></is></c><c r="P27" s="12"><is><t></t></is></c><c r="Q27" s="12"/><c r="R27" s="12"/><c r="S27" s="13"/><c r="T27" s="61"><v></v></c><c r="U27" s="66"><is><t></t></is></c><c r="V27" s="11"><is><t></t></is></c><c r="W27" s="12"><is><t></t></is></c><c r="X27" s="12"><is><t></t></is></c><c r="Y27" s="12"><is><t></t></is></c><c r="Z27" s="12"/><c r="AA27" s="12"/><c r="AB27" s="13"/><c r="AC27" s="61"><v></v></c><c r="AD27" s="66"><is><t></t></is></c><c r="AE27" s="11"/><is><t></t></is></c><c r="AM27" s="66"/><is><t></t></is></c><c r="AP27" s="34"><v></v></c><c r="AQ27" s="34"><v></v></c><c r="AR27" s="33"><v></v></c><c r="AS27" s="32" t="str"><f t="shared" si="20"/><v/></c><c r="AT27" s="79"/><c r="AU27" s="80"/><c r="AV27" s="31"/><c r="AW27" s="30"><f t="shared" si="8"/><v></v></c><c r="AX27" s="30"><f t="shared" si="8"/><v></v></c><c r="AY27" s="30"><f t="shared" si="8"/><v></v></c><c r="AZ27" s="30"><f t="shared" si="8"/><v></v></c><c r="BA27" s="30" t="str"><f t="shared" si="8"/><v/></c><c r="BB27" s="30" t="str"><f t="shared" si="8"/><v/></c><c r="BC27" s="30" t="str"><f t="shared" si="8"/><v/></c><c r="BD27" s="29"><f t="shared" si="9"/><v></v></c><c r="BE27" s="26"/><c r="BF27" s="28"><f t="shared" si="10"/><v></v></c><c r="BG27" s="28"><f t="shared" si="10"/><v></v></c><c r="BH27" s="28"><f t="shared" si="10"/><v></v></c><c r="BI27" s="28"><f t="shared" si="10"/><v></v></c><c r="BJ27" s="28" t="str"><f t="shared" si="10"/><v/></c><c r="BK27" s="28" t="str"><f t="shared" si="10"/><v/></c><c r="BL27" s="28" t="str"><f t="shared" si="10"/><v/></c><c r="BM27" s="29"><f t="shared" si="11"/><v></v></c><c r="BN27" s="26"/><c r="BO27" s="28"><f t="shared" si="12"/><v></v></c><c r="BP27" s="28"><f t="shared" si="12"/><v></v></c><c r="BQ27" s="28"><f t="shared" si="12"/><v></v></c><c r="BR27" s="28"><f t="shared" si="12"/><v></v></c><c r="BS27" s="28" t="str"><f t="shared" si="12"/><v/></c><c r="BT27" s="28" t="str"><f t="shared" si="12"/><v/></c><c r="BU27" s="28" t="str"><f t="shared" si="12"/><v/></c><c r="BV27" s="29"><f t="shared" si="13"/><v></v></c><c r="BW27" s="26"/><c r="BX27" s="28" t="str"><f t="shared" si="14"/><v/></c><c r="BY27" s="28" t="str"><f t="shared" si="14"/><v/></c><c r="BZ27" s="28" t="str"><f t="shared" si="14"/><v/></c><c r="CA27" s="28" t="str"><f t="shared" si="14"/><v/></c><c r="CB27" s="28" t="str"><f t="shared" si="14"/><v/></c><c r="CC27" s="28" t="str"><f t="shared" si="14"/><v/></c><c r="CD27" s="28" t="str"><f t="shared" si="14"/><v/></c><c r="CE27" s="29" t="e"><f t="shared" si="15"/><v></v></c><c r="CF27" s="26"/><c r="CG27" s="28"><f t="shared" si="16"/><v></v></c><c r="CH27" s="28"><f t="shared" si="21"/><v></v></c><c r="CI27" s="28"><f t="shared" si="17"/><v></v></c><c r="CJ27" s="28" t="e"><f t="shared" si="18"/><v></v></c><c r="CK27" s="27" t="e"><f t="shared" si="19"/><v></v></c><c r="CL27" s="26"/><c r="CM27" s="26"/><c r="CN27" s="26"/><c r="CO27" s="26"/><c r="CP27" s="26"/><c r="CQ27" s="26"/><c r="CR27" s="26"/><c r="CS27" s="26"/><c r="DX27" s="20"/></row><row r="28" spans="1:128" ht="49.95" customHeight="1" thickTop="1" thickBot="1" x14ac:dyDescent="0.35"><c r="A28" s="10"><v>18</v></c><c r="B28" s="72"><is><t>LOPEZ GRANDEZ, HERLES DAVID</t></is></c><c r="C28" s="35"/><c r="D28" s="11"><is><t>C</t></is></c><c r="E28" s="12"><is><t></t></is></c><c r="F28" s="12"><is><t></t></is></c><c r="G28" s="12"><is><t></t></is></c><c r="H28" s="12"/><c r="I28" s="12"/><c r="J28" s="13"/><c r="K28" s="61"><v>C</v></c><c r="L28" s="66"><is><t>No logra realizar las actividades propuestas.</t></is></c><c r="M28" s="11"><is><t></t></is></c><c r="N28" s="12"><is><t></t></is></c><c r="O28" s="12"><is><t></t></is></c><c r="P28" s="12"><is><t></t></is></c><c r="Q28" s="12"/><c r="R28" s="12"/><c r="S28" s="13"/><c r="T28" s="61"><v></v></c><c r="U28" s="66"><is><t></t></is></c><c r="V28" s="11"><is><t></t></is></c><c r="W28" s="12"><is><t></t></is></c><c r="X28" s="12"><is><t></t></is></c><c r="Y28" s="12"><is><t></t></is></c><c r="Z28" s="12"/><c r="AA28" s="12"/><c r="AB28" s="13"/><c r="AC28" s="61"><v></v></c><c r="AD28" s="66"><is><t></t></is></c><c r="AE28" s="11"/><is><t></t></is></c><c r="AM28" s="66"/><is><t></t></is></c><c r="AP28" s="34"><v></v></c><c r="AQ28" s="34"><v></v></c><c r="AR28" s="33"><v></v></c><c r="AS28" s="32" t="str"><f t="shared" si="20"/><v/></c><c r="AT28" s="79"/><c r="AU28" s="80"/><c r="AV28" s="31"/><c r="AW28" s="30"><f t="shared" si="8"/><v></v></c><c r="AX28" s="30"><f t="shared" si="8"/><v></v></c><c r="AY28" s="30"><f t="shared" si="8"/><v></v></c><c r="AZ28" s="30"><f t="shared" si="8"/><v></v></c><c r="BA28" s="30" t="str"><f t="shared" si="8"/><v/></c><c r="BB28" s="30" t="str"><f t="shared" si="8"/><v/></c><c r="BC28" s="30" t="str"><f t="shared" si="8"/><v/></c><c r="BD28" s="29"><f t="shared" si="9"/><v></v></c><c r="BE28" s="26"/><c r="BF28" s="28"><f t="shared" si="10"/><v></v></c><c r="BG28" s="28"><f t="shared" si="10"/><v></v></c><c r="BH28" s="28"><f t="shared" si="10"/><v></v></c><c r="BI28" s="28"><f t="shared" si="10"/><v></v></c><c r="BJ28" s="28" t="str"><f t="shared" si="10"/><v/></c><c r="BK28" s="28" t="str"><f t="shared" si="10"/><v/></c><c r="BL28" s="28" t="str"><f t="shared" si="10"/><v/></c><c r="BM28" s="29"><f t="shared" si="11"/><v></v></c><c r="BN28" s="26"/><c r="BO28" s="28"><f t="shared" si="12"/><v></v></c><c r="BP28" s="28"><f t="shared" si="12"/><v></v></c><c r="BQ28" s="28"><f t="shared" si="12"/><v></v></c><c r="BR28" s="28"><f t="shared" si="12"/><v></v></c><c r="BS28" s="28" t="str"><f t="shared" si="12"/><v/></c><c r="BT28" s="28" t="str"><f t="shared" si="12"/><v/></c><c r="BU28" s="28" t="str"><f t="shared" si="12"/><v/></c><c r="BV28" s="29"><f t="shared" si="13"/><v></v></c><c r="BW28" s="26"/><c r="BX28" s="28" t="str"><f t="shared" si="14"/><v/></c><c r="BY28" s="28" t="str"><f t="shared" si="14"/><v/></c><c r="BZ28" s="28" t="str"><f t="shared" si="14"/><v/></c><c r="CA28" s="28" t="str"><f t="shared" si="14"/><v/></c><c r="CB28" s="28" t="str"><f t="shared" si="14"/><v/></c><c r="CC28" s="28" t="str"><f t="shared" si="14"/><v/></c><c r="CD28" s="28" t="str"><f t="shared" si="14"/><v/></c><c r="CE28" s="29" t="e"><f t="shared" si="15"/><v></v></c><c r="CF28" s="26"/><c r="CG28" s="28"><f t="shared" si="16"/><v></v></c><c r="CH28" s="28"><f t="shared" si="21"/><v></v></c><c r="CI28" s="28"><f t="shared" si="17"/><v></v></c><c r="CJ28" s="28" t="e"><f t="shared" si="18"/><v></v></c><c r="CK28" s="27" t="e"><f t="shared" si="19"/><v></v></c><c r="CL28" s="26"/><c r="CM28" s="26"/><c r="CN28" s="26"/><c r="CO28" s="26"/><c r="CP28" s="26"/><c r="CQ28" s="26"/><c r="CR28" s="26"/><c r="CS28" s="26"/><c r="DX28" s="20"/></row><row r="29" spans="1:128" ht="49.95" customHeight="1" thickTop="1" thickBot="1" x14ac:dyDescent="0.35"><c r="A29" s="10"><v>19</v></c><c r="B29" s="72"><is><t>LOPEZ LOZANO, SHIRLEY MARITZA</t></is></c><c r="C29" s="35"/><c r="D29" s="11"><is><t>C</t></is></c><c r="E29" s="12"><is><t>B</t></is></c><c r="F29" s="12"><is><t></t></is></c><c r="G29" s="12"><is><t></t></is></c><c r="H29" s="12"/><c r="I29" s="12"/><c r="J29" s="13"/><c r="K29" s="61"><v>B</v></c><c r="L29" s="66"><is><t>Presenta dificultades para realizar las actividades propuestas.</t></is></c><c r="M29" s="11"><is><t></t></is></c><c r="N29" s="12"><is><t></t></is></c><c r="O29" s="12"><is><t></t></is></c><c r="P29" s="12"><is><t></t></is></c><c r="Q29" s="12"/><c r="R29" s="12"/><c r="S29" s="13"/><c r="T29" s="61"><v></v></c><c r="U29" s="66"><is><t></t></is></c><c r="V29" s="11"><is><t></t></is></c><c r="W29" s="12"><is><t></t></is></c><c r="X29" s="12"><is><t></t></is></c><c r="Y29" s="12"><is><t></t></is></c><c r="Z29" s="12"/><c r="AA29" s="12"/><c r="AB29" s="13"/><c r="AC29" s="61"><v></v></c><c r="AD29" s="66"><is><t></t></is></c><c r="AE29" s="11"/><is><t></t></is></c><c r="AM29" s="66"/><is><t></t></is></c><c r="AP29" s="34"><v></v></c><c r="AQ29" s="34"><v></v></c><c r="AR29" s="33"><v></v></c><c r="AS29" s="32" t="str"><f t="shared" si="20"/><v/></c><c r="AT29" s="79"/><c r="AU29" s="80"/><c r="AV29" s="31"/><c r="AW29" s="30"><f t="shared" si="8"/><v></v></c><c r="AX29" s="30"><f t="shared" si="8"/><v></v></c><c r="AY29" s="30"><f t="shared" si="8"/><v></v></c><c r="AZ29" s="30"><f t="shared" si="8"/><v></v></c><c r="BA29" s="30" t="str"><f t="shared" si="8"/><v/></c><c r="BB29" s="30" t="str"><f t="shared" si="8"/><v/></c><c r="BC29" s="30" t="str"><f t="shared" si="8"/><v/></c><c r="BD29" s="29"><f t="shared" si="9"/><v></v></c><c r="BE29" s="26"/><c r="BF29" s="28"><f t="shared" si="10"/><v></v></c><c r="BG29" s="28"><f t="shared" si="10"/><v></v></c><c r="BH29" s="28"><f t="shared" si="10"/><v></v></c><c r="BI29" s="28"><f t="shared" si="10"/><v></v></c><c r="BJ29" s="28" t="str"><f t="shared" si="10"/><v/></c><c r="BK29" s="28" t="str"><f t="shared" si="10"/><v/></c><c r="BL29" s="28" t="str"><f t="shared" si="10"/><v/></c><c r="BM29" s="29"><f t="shared" si="11"/><v></v></c><c r="BN29" s="26"/><c r="BO29" s="28"><f t="shared" si="12"/><v></v></c><c r="BP29" s="28"><f t="shared" si="12"/><v></v></c><c r="BQ29" s="28"><f t="shared" si="12"/><v></v></c><c r="BR29" s="28"><f t="shared" si="12"/><v></v></c><c r="BS29" s="28" t="str"><f t="shared" si="12"/><v/></c><c r="BT29" s="28" t="str"><f t="shared" si="12"/><v/></c><c r="BU29" s="28" t="str"><f t="shared" si="12"/><v/></c><c r="BV29" s="29"><f t="shared" si="13"/><v></v></c><c r="BW29" s="26"/><c r="BX29" s="28" t="str"><f t="shared" si="14"/><v/></c><c r="BY29" s="28" t="str"><f t="shared" si="14"/><v/></c><c r="BZ29" s="28" t="str"><f t="shared" si="14"/><v/></c><c r="CA29" s="28" t="str"><f t="shared" si="14"/><v/></c><c r="CB29" s="28" t="str"><f t="shared" si="14"/><v/></c><c r="CC29" s="28" t="str"><f t="shared" si="14"/><v/></c><c r="CD29" s="28" t="str"><f t="shared" si="14"/><v/></c><c r="CE29" s="29" t="e"><f t="shared" si="15"/><v></v></c><c r="CF29" s="26"/><c r="CG29" s="28"><f t="shared" si="16"/><v></v></c><c r="CH29" s="28"><f t="shared" si="21"/><v></v></c><c r="CI29" s="28"><f t="shared" si="17"/><v></v></c><c r="CJ29" s="28" t="e"><f t="shared" si="18"/><v></v></c><c r="CK29" s="27" t="e"><f t="shared" si="19"/><v></v></c><c r="CL29" s="26"/><c r="CM29" s="26"/><c r="CN29" s="26"/><c r="CO29" s="26"/><c r="CP29" s="26"/><c r="CQ29" s="26"/><c r="CR29" s="26"/><c r="CS29" s="26"/><c r="DX29" s="20"/></row><row r="30" spans="1:128" ht="49.95" customHeight="1" thickTop="1" thickBot="1" x14ac:dyDescent="0.35"><c r="A30" s="10"><v>20</v></c><c r="B30" s="72"><is><t>LOPEZ MURAYARI, NILVER</t></is></c><c r="C30" s="35"/><c r="D30" s="11"><is><t>A</t></is></c><c r="E30" s="12"><is><t>B</t></is></c><c r="F30" s="12"><is><t></t></is></c><c r="G30" s="12"><is><t></t></is></c><c r="H30" s="12"/><c r="I30" s="12"/><c r="J30" s="13"/><c r="K30" s="61"><v>A</v></c><c r="L30" s="66"><is><t>Logra realizar las actividades propuestas de manera satisfactoria.</t></is></c><c r="M30" s="11"><is><t></t></is></c><c r="N30" s="12"><is><t></t></is></c><c r="O30" s="12"><is><t></t></is></c><c r="P30" s="12"><is><t></t></is></c><c r="Q30" s="12"/><c r="R30" s="12"/><c r="S30" s="13"/><c r="T30" s="61"><v></v></c><c r="U30" s="66"><is><t></t></is></c><c r="V30" s="11"><is><t></t></is></c><c r="W30" s="12"><is><t></t></is></c><c r="X30" s="12"><is><t></t></is></c><c r="Y30" s="12"><is><t></t></is></c><c r="Z30" s="12"/><c r="AA30" s="12"/><c r="AB30" s="13"/><c r="AC30" s="61"><v></v></c><c r="AD30" s="66"><is><t></t></is></c><c r="AE30" s="11"/><is><t></t></is></c><c r="AM30" s="66"/><is><t></t></is></c><c r="AP30" s="34"><v></v></c><c r="AQ30" s="34"><v></v></c><c r="AR30" s="33"><v></v></c><c r="AS30" s="32" t="str"><f t="shared" si="20"/><v/></c><c r="AT30" s="79"/><c r="AU30" s="80"/><c r="AV30" s="31"/><c r="AW30" s="30"><f t="shared" si="8"/><v></v></c><c r="AX30" s="30"><f t="shared" si="8"/><v></v></c><c r="AY30" s="30"><f t="shared" si="8"/><v></v></c><c r="AZ30" s="30"><f t="shared" si="8"/><v></v></c><c r="BA30" s="30" t="str"><f t="shared" si="8"/><v/></c><c r="BB30" s="30" t="str"><f t="shared" si="8"/><v/></c><c r="BC30" s="30" t="str"><f t="shared" si="8"/><v/></c><c r="BD30" s="29"><f t="shared" si="9"/><v></v></c><c r="BE30" s="26"/><c r="BF30" s="28"><f t="shared" si="10"/><v></v></c><c r="BG30" s="28"><f t="shared" si="10"/><v></v></c><c r="BH30" s="28"><f t="shared" si="10"/><v></v></c><c r="BI30" s="28"><f t="shared" si="10"/><v></v></c><c r="BJ30" s="28" t="str"><f t="shared" si="10"/><v/></c><c r="BK30" s="28" t="str"><f t="shared" si="10"/><v/></c><c r="BL30" s="28" t="str"><f t="shared" si="10"/><v/></c><c r="BM30" s="29"><f t="shared" si="11"/><v></v></c><c r="BN30" s="26"/><c r="BO30" s="28"><f t="shared" si="12"/><v></v></c><c r="BP30" s="28"><f t="shared" si="12"/><v></v></c><c r="BQ30" s="28"><f t="shared" si="12"/><v></v></c><c r="BR30" s="28"><f t="shared" si="12"/><v></v></c><c r="BS30" s="28" t="str"><f t="shared" si="12"/><v/></c><c r="BT30" s="28" t="str"><f t="shared" si="12"/><v/></c><c r="BU30" s="28" t="str"><f t="shared" si="12"/><v/></c><c r="BV30" s="29"><f t="shared" si="13"/><v></v></c><c r="BW30" s="26"/><c r="BX30" s="28" t="str"><f t="shared" si="14"/><v/></c><c r="BY30" s="28" t="str"><f t="shared" si="14"/><v/></c><c r="BZ30" s="28" t="str"><f t="shared" si="14"/><v/></c><c r="CA30" s="28" t="str"><f t="shared" si="14"/><v/></c><c r="CB30" s="28" t="str"><f t="shared" si="14"/><v/></c><c r="CC30" s="28" t="str"><f t="shared" si="14"/><v/></c><c r="CD30" s="28" t="str"><f t="shared" si="14"/><v/></c><c r="CE30" s="29" t="e"><f t="shared" si="15"/><v></v></c><c r="CF30" s="26"/><c r="CG30" s="28"><f t="shared" si="16"/><v></v></c><c r="CH30" s="28"><f t="shared" si="21"/><v></v></c><c r="CI30" s="28"><f t="shared" si="17"/><v></v></c><c r="CJ30" s="28" t="e"><f t="shared" si="18"/><v></v></c><c r="CK30" s="27" t="e"><f t="shared" si="19"/><v></v></c><c r="CL30" s="26"/><c r="CM30" s="26"/><c r="CN30" s="26"/><c r="CO30" s="26"/><c r="CP30" s="26"/><c r="CQ30" s="26"/><c r="CR30" s="26"/><c r="CS30" s="26"/><c r="DX30" s="20"/></row><row r="31" spans="1:128" ht="49.95" customHeight="1" thickTop="1" thickBot="1" x14ac:dyDescent="0.35"><c r="A31" s="10"><v>21</v></c><c r="B31" s="72"><is><t>MACEDO PUA, YANKEE PAOLO</t></is></c><c r="C31" s="35"/><c r="D31" s="11"><is><t>B</t></is></c><c r="E31" s="12"><is><t></t></is></c><c r="F31" s="12"><is><t></t></is></c><c r="G31" s="12"><is><t></t></is></c><c r="H31" s="12"/><c r="I31" s="12"/><c r="J31" s="13"/><c r="K31" s="61"><v>B</v></c><c r="L31" s="66"><is><t>Presenta dificultades para realizar las actividades propuestas.</t></is></c><c r="M31" s="11"><is><t></t></is></c><c r="N31" s="12"><is><t></t></is></c><c r="O31" s="12"><is><t></t></is></c><c r="P31" s="12"><is><t></t></is></c><c r="Q31" s="12"/><c r="R31" s="12"/><c r="S31" s="13"/><c r="T31" s="61"><v></v></c><c r="U31" s="66"><is><t></t></is></c><c r="V31" s="11"><is><t></t></is></c><c r="W31" s="12"><is><t></t></is></c><c r="X31" s="12"><is><t></t></is></c><c r="Y31" s="12"><is><t></t></is></c><c r="Z31" s="12"/><c r="AA31" s="12"/><c r="AB31" s="13"/><c r="AC31" s="61"><v></v></c><c r="AD31" s="66"><is><t></t></is></c><c r="AE31" s="11"/><is><t></t></is></c><c r="AM31" s="66"/><is><t></t></is></c><c r="AP31" s="34"><v></v></c><c r="AQ31" s="34"><v></v></c><c r="AR31" s="33"><v></v></c><c r="AS31" s="32" t="str"><f t="shared" si="20"/><v/></c><c r="AT31" s="79"/><c r="AU31" s="80"/><c r="AV31" s="31"/><c r="AW31" s="30"><f t="shared" si="8"/><v></v></c><c r="AX31" s="30"><f t="shared" si="8"/><v></v></c><c r="AY31" s="30"><f t="shared" si="8"/><v></v></c><c r="AZ31" s="30"><f t="shared" si="8"/><v></v></c><c r="BA31" s="30" t="str"><f t="shared" si="8"/><v/></c><c r="BB31" s="30" t="str"><f t="shared" si="8"/><v/></c><c r="BC31" s="30" t="str"><f t="shared" si="8"/><v/></c><c r="BD31" s="29"><f t="shared" si="9"/><v></v></c><c r="BE31" s="26"/><c r="BF31" s="28"><f t="shared" si="10"/><v></v></c><c r="BG31" s="28"><f t="shared" si="10"/><v></v></c><c r="BH31" s="28"><f t="shared" si="10"/><v></v></c><c r="BI31" s="28"><f t="shared" si="10"/><v></v></c><c r="BJ31" s="28" t="str"><f t="shared" si="10"/><v/></c><c r="BK31" s="28" t="str"><f t="shared" si="10"/><v/></c><c r="BL31" s="28" t="str"><f t="shared" si="10"/><v/></c><c r="BM31" s="29"><f t="shared" si="11"/><v></v></c><c r="BN31" s="26"/><c r="BO31" s="28"><f t="shared" si="12"/><v></v></c><c r="BP31" s="28"><f t="shared" si="12"/><v></v></c><c r="BQ31" s="28"><f t="shared" si="12"/><v></v></c><c r="BR31" s="28"><f t="shared" si="12"/><v></v></c><c r="BS31" s="28" t="str"><f t="shared" si="12"/><v/></c><c r="BT31" s="28" t="str"><f t="shared" si="12"/><v/></c><c r="BU31" s="28" t="str"><f t="shared" si="12"/><v/></c><c r="BV31" s="29"><f t="shared" si="13"/><v></v></c><c r="BW31" s="26"/><c r="BX31" s="28" t="str"><f t="shared" si="14"/><v/></c><c r="BY31" s="28" t="str"><f t="shared" si="14"/><v/></c><c r="BZ31" s="28" t="str"><f t="shared" si="14"/><v/></c><c r="CA31" s="28" t="str"><f t="shared" si="14"/><v/></c><c r="CB31" s="28" t="str"><f t="shared" si="14"/><v/></c><c r="CC31" s="28" t="str"><f t="shared" si="14"/><v/></c><c r="CD31" s="28" t="str"><f t="shared" si="14"/><v/></c><c r="CE31" s="29" t="e"><f t="shared" si="15"/><v></v></c><c r="CF31" s="26"/><c r="CG31" s="28"><f t="shared" si="16"/><v></v></c><c r="CH31" s="28"><f t="shared" si="21"/><v></v></c><c r="CI31" s="28"><f t="shared" si="17"/><v></v></c><c r="CJ31" s="28" t="e"><f t="shared" si="18"/><v></v></c><c r="CK31" s="27" t="e"><f t="shared" si="19"/><v></v></c><c r="CL31" s="26"/><c r="CM31" s="26"/><c r="CN31" s="26"/><c r="CO31" s="26"/><c r="CP31" s="26"/><c r="CQ31" s="26"/><c r="CR31" s="26"/><c r="CS31" s="26"/><c r="DX31" s="20"/></row><row r="32" spans="1:128" ht="49.95" customHeight="1" thickTop="1" thickBot="1" x14ac:dyDescent="0.35"><c r="A32" s="10"><v>22</v></c><c r="B32" s="72"><is><t>MAGIN SOBERON, CHERIL LUZ</t></is></c><c r="C32" s="35"/><c r="D32" s="11"><is><t>A</t></is></c><c r="E32" s="12"><is><t></t></is></c><c r="F32" s="12"><is><t></t></is></c><c r="G32" s="12"><is><t></t></is></c><c r="H32" s="12"/><c r="I32" s="12"/><c r="J32" s="13"/><c r="K32" s="61"><v>A</v></c><c r="L32" s="66"><is><t>Logra realizar las actividades propuestas de manera satisfactoria.</t></is></c><c r="M32" s="11"><is><t></t></is></c><c r="N32" s="12"><is><t></t></is></c><c r="O32" s="12"><is><t></t></is></c><c r="P32" s="12"><is><t></t></is></c><c r="Q32" s="12"/><c r="R32" s="12"/><c r="S32" s="13"/><c r="T32" s="61"><v></v></c><c r="U32" s="66"><is><t></t></is></c><c r="V32" s="11"><is><t></t></is></c><c r="W32" s="12"><is><t></t></is></c><c r="X32" s="12"><is><t></t></is></c><c r="Y32" s="12"><is><t></t></is></c><c r="Z32" s="12"/><c r="AA32" s="12"/><c r="AB32" s="13"/><c r="AC32" s="61"><v></v></c><c r="AD32" s="66"><is><t></t></is></c><c r="AE32" s="11"/><is><t></t></is></c><c r="AM32" s="66"/><is><t></t></is></c><c r="AP32" s="34"><v></v></c><c r="AQ32" s="34"><v></v></c><c r="AR32" s="33"><v></v></c><c r="AS32" s="32" t="str"><f t="shared" si="20"/><v/></c><c r="AT32" s="79"/><c r="AU32" s="80"/><c r="AV32" s="31"/><c r="AW32" s="30"><f t="shared" si="8"/><v></v></c><c r="AX32" s="30"><f t="shared" si="8"/><v></v></c><c r="AY32" s="30"><f t="shared" si="8"/><v></v></c><c r="AZ32" s="30"><f t="shared" si="8"/><v></v></c><c r="BA32" s="30" t="str"><f t="shared" si="8"/><v/></c><c r="BB32" s="30" t="str"><f t="shared" si="8"/><v/></c><c r="BC32" s="30" t="str"><f t="shared" si="8"/><v/></c><c r="BD32" s="29"><f t="shared" si="9"/><v></v></c><c r="BE32" s="26"/><c r="BF32" s="28"><f t="shared" si="10"/><v></v></c><c r="BG32" s="28"><f t="shared" si="10"/><v></v></c><c r="BH32" s="28"><f t="shared" si="10"/><v></v></c><c r="BI32" s="28"><f t="shared" si="10"/><v></v></c><c r="BJ32" s="28" t="str"><f t="shared" si="10"/><v/></c><c r="BK32" s="28" t="str"><f t="shared" si="10"/><v/></c><c r="BL32" s="28" t="str"><f t="shared" si="10"/><v/></c><c r="BM32" s="29"><f t="shared" si="11"/><v></v></c><c r="BN32" s="26"/><c r="BO32" s="28"><f t="shared" si="12"/><v></v></c><c r="BP32" s="28"><f t="shared" si="12"/><v></v></c><c r="BQ32" s="28"><f t="shared" si="12"/><v></v></c><c r="BR32" s="28"><f t="shared" si="12"/><v></v></c><c r="BS32" s="28" t="str"><f t="shared" si="12"/><v/></c><c r="BT32" s="28" t="str"><f t="shared" si="12"/><v/></c><c r="BU32" s="28" t="str"><f t="shared" si="12"/><v/></c><c r="BV32" s="29"><f t="shared" si="13"/><v></v></c><c r="BW32" s="26"/><c r="BX32" s="28" t="str"><f t="shared" si="14"/><v/></c><c r="BY32" s="28" t="str"><f t="shared" si="14"/><v/></c><c r="BZ32" s="28" t="str"><f t="shared" si="14"/><v/></c><c r="CA32" s="28" t="str"><f t="shared" si="14"/><v/></c><c r="CB32" s="28" t="str"><f t="shared" si="14"/><v/></c><c r="CC32" s="28" t="str"><f t="shared" si="14"/><v/></c><c r="CD32" s="28" t="str"><f t="shared" si="14"/><v/></c><c r="CE32" s="29" t="e"><f t="shared" si="15"/><v></v></c><c r="CF32" s="26"/><c r="CG32" s="28"><f t="shared" si="16"/><v></v></c><c r="CH32" s="28"><f t="shared" si="21"/><v></v></c><c r="CI32" s="28"><f t="shared" si="17"/><v></v></c><c r="CJ32" s="28" t="e"><f t="shared" si="18"/><v></v></c><c r="CK32" s="27" t="e"><f t="shared" si="19"/><v></v></c><c r="CL32" s="26"/><c r="CM32" s="26"/><c r="CN32" s="26"/><c r="CO32" s="26"/><c r="CP32" s="26"/><c r="CQ32" s="26"/><c r="CR32" s="26"/><c r="CS32" s="26"/><c r="DX32" s="20"/></row><row r="33" spans="1:128" ht="49.95" customHeight="1" thickTop="1" thickBot="1" x14ac:dyDescent="0.35"><c r="A33" s="10"><v>23</v></c><c r="B33" s="72"><is><t>MARIN AYACHI, GREISI CARLITA</t></is></c><c r="C33" s="35"/><c r="D33" s="11"><is><t>C</t></is></c><c r="E33" s="12"><is><t>C</t></is></c><c r="F33" s="12"><is><t></t></is></c><c r="G33" s="12"><is><t></t></is></c><c r="H33" s="12"/><c r="I33" s="12"/><c r="J33" s="13"/><c r="K33" s="61"><v>C</v></c><c r="L33" s="66"><is><t>No logra realizar las actividades propuestas.</t></is></c><c r="M33" s="11"><is><t></t></is></c><c r="N33" s="12"><is><t></t></is></c><c r="O33" s="12"><is><t></t></is></c><c r="P33" s="12"><is><t></t></is></c><c r="Q33" s="12"/><c r="R33" s="12"/><c r="S33" s="13"/><c r="T33" s="61"><v></v></c><c r="U33" s="66"><is><t></t></is></c><c r="V33" s="11"><is><t></t></is></c><c r="W33" s="12"><is><t></t></is></c><c r="X33" s="12"><is><t></t></is></c><c r="Y33" s="12"><is><t></t></is></c><c r="Z33" s="12"/><c r="AA33" s="12"/><c r="AB33" s="13"/><c r="AC33" s="61"><v></v></c><c r="AD33" s="66"><is><t></t></is></c><c r="AE33" s="11"/><is><t></t></is></c><c r="AM33" s="66"/><is><t></t></is></c><c r="AP33" s="34"><v></v></c><c r="AQ33" s="34"><v></v></c><c r="AR33" s="33"><v></v></c><c r="AS33" s="32" t="str"><f t="shared" si="20"/><v/></c><c r="AT33" s="79"/><c r="AU33" s="80"/><c r="AV33" s="31"/><c r="AW33" s="30"><f t="shared" si="8"/><v></v></c><c r="AX33" s="30"><f t="shared" si="8"/><v></v></c><c r="AY33" s="30"><f t="shared" si="8"/><v></v></c><c r="AZ33" s="30"><f t="shared" si="8"/><v></v></c><c r="BA33" s="30" t="str"><f t="shared" si="8"/><v/></c><c r="BB33" s="30" t="str"><f t="shared" si="8"/><v/></c><c r="BC33" s="30" t="str"><f t="shared" si="8"/><v/></c><c r="BD33" s="29"><f t="shared" si="9"/><v></v></c><c r="BE33" s="26"/><c r="BF33" s="28"><f t="shared" si="10"/><v></v></c><c r="BG33" s="28"><f t="shared" si="10"/><v></v></c><c r="BH33" s="28"><f t="shared" si="10"/><v></v></c><c r="BI33" s="28"><f t="shared" si="10"/><v></v></c><c r="BJ33" s="28" t="str"><f t="shared" si="10"/><v/></c><c r="BK33" s="28" t="str"><f t="shared" si="10"/><v/></c><c r="BL33" s="28" t="str"><f t="shared" si="10"/><v/></c><c r="BM33" s="29"><f t="shared" si="11"/><v></v></c><c r="BN33" s="26"/><c r="BO33" s="28"><f t="shared" si="12"/><v></v></c><c r="BP33" s="28"><f t="shared" si="12"/><v></v></c><c r="BQ33" s="28"><f t="shared" si="12"/><v></v></c><c r="BR33" s="28"><f t="shared" si="12"/><v></v></c><c r="BS33" s="28" t="str"><f t="shared" si="12"/><v/></c><c r="BT33" s="28" t="str"><f t="shared" si="12"/><v/></c><c r="BU33" s="28" t="str"><f t="shared" si="12"/><v/></c><c r="BV33" s="29"><f t="shared" si="13"/><v></v></c><c r="BW33" s="26"/><c r="BX33" s="28" t="str"><f t="shared" si="14"/><v/></c><c r="BY33" s="28" t="str"><f t="shared" si="14"/><v/></c><c r="BZ33" s="28" t="str"><f t="shared" si="14"/><v/></c><c r="CA33" s="28" t="str"><f t="shared" si="14"/><v/></c><c r="CB33" s="28" t="str"><f t="shared" si="14"/><v/></c><c r="CC33" s="28" t="str"><f t="shared" si="14"/><v/></c><c r="CD33" s="28" t="str"><f t="shared" si="14"/><v/></c><c r="CE33" s="29" t="e"><f t="shared" si="15"/><v></v></c><c r="CF33" s="26"/><c r="CG33" s="28"><f t="shared" si="16"/><v></v></c><c r="CH33" s="28"><f t="shared" si="21"/><v></v></c><c r="CI33" s="28"><f t="shared" si="17"/><v></v></c><c r="CJ33" s="28" t="e"><f t="shared" si="18"/><v></v></c><c r="CK33" s="27" t="e"><f t="shared" si="19"/><v></v></c><c r="CL33" s="26"/><c r="CM33" s="26"/><c r="CN33" s="26"/><c r="CO33" s="26"/><c r="CP33" s="26"/><c r="CQ33" s="26"/><c r="CR33" s="26"/><c r="CS33" s="26"/><c r="DX33" s="20"/></row><row r="34" spans="1:128" ht="49.95" customHeight="1" thickTop="1" thickBot="1" x14ac:dyDescent="0.35"><c r="A34" s="10"><v>24</v></c><c r="B34" s="73"><is><t>MOZOMBITE TRUJILLO ROOS EMERITA</t></is></c><c r="C34" s="35"/><c r="D34" s="11"><is><t>C</t></is></c><c r="E34" s="12"><is><t></t></is></c><c r="F34" s="12"><is><t></t></is></c><c r="G34" s="12"><is><t></t></is></c><c r="H34" s="12"/><c r="I34" s="12"/><c r="J34" s="13"/><c r="K34" s="61"><v>C</v></c><c r="L34" s="66"><is><t>No logra realizar las actividades propuestas.</t></is></c><c r="M34" s="11"><is><t></t></is></c><c r="N34" s="12"><is><t></t></is></c><c r="O34" s="12"><is><t></t></is></c><c r="P34" s="12"><is><t></t></is></c><c r="Q34" s="12"/><c r="R34" s="12"/><c r="S34" s="13"/><c r="T34" s="61"><v></v></c><c r="U34" s="66"><is><t></t></is></c><c r="V34" s="11"><is><t></t></is></c><c r="W34" s="12"><is><t></t></is></c><c r="X34" s="12"><is><t></t></is></c><c r="Y34" s="12"><is><t></t></is></c><c r="Z34" s="12"/><c r="AA34" s="12"/><c r="AB34" s="13"/><c r="AC34" s="61"><v></v></c><c r="AD34" s="66"><is><t></t></is></c><c r="AE34" s="11"/><is><t></t></is></c><c r="AM34" s="66"/><is><t></t></is></c><c r="AP34" s="34"><v></v></c><c r="AQ34" s="34"><v></v></c><c r="AR34" s="33"><v></v></c><c r="AS34" s="32" t="str"><f t="shared" si="20"/><v/></c><c r="AT34" s="79"/><c r="AU34" s="80"/><c r="AV34" s="31"/><c r="AW34" s="30"><f t="shared" si="8"/><v></v></c><c r="AX34" s="30"><f t="shared" si="8"/><v></v></c><c r="AY34" s="30"><f t="shared" si="8"/><v></v></c><c r="AZ34" s="30"><f t="shared" si="8"/><v></v></c><c r="BA34" s="30" t="str"><f t="shared" si="8"/><v/></c><c r="BB34" s="30" t="str"><f t="shared" si="8"/><v/></c><c r="BC34" s="30" t="str"><f t="shared" si="8"/><v/></c><c r="BD34" s="29"><f t="shared" si="9"/><v></v></c><c r="BE34" s="26"/><c r="BF34" s="28"><f t="shared" si="10"/><v></v></c><c r="BG34" s="28"><f t="shared" si="10"/><v></v></c><c r="BH34" s="28"><f t="shared" si="10"/><v></v></c><c r="BI34" s="28"><f t="shared" si="10"/><v></v></c><c r="BJ34" s="28" t="str"><f t="shared" si="10"/><v/></c><c r="BK34" s="28" t="str"><f t="shared" si="10"/><v/></c><c r="BL34" s="28" t="str"><f t="shared" si="10"/><v/></c><c r="BM34" s="29"><f t="shared" si="11"/><v></v></c><c r="BN34" s="26"/><c r="BO34" s="28"><f t="shared" si="12"/><v></v></c><c r="BP34" s="28"><f t="shared" si="12"/><v></v></c><c r="BQ34" s="28"><f t="shared" si="12"/><v></v></c><c r="BR34" s="28"><f t="shared" si="12"/><v></v></c><c r="BS34" s="28" t="str"><f t="shared" si="12"/><v/></c><c r="BT34" s="28" t="str"><f t="shared" si="12"/><v/></c><c r="BU34" s="28" t="str"><f t="shared" si="12"/><v/></c><c r="BV34" s="29"><f t="shared" si="13"/><v></v></c><c r="BW34" s="26"/><c r="BX34" s="28" t="str"><f t="shared" si="14"/><v/></c><c r="BY34" s="28" t="str"><f t="shared" si="14"/><v/></c><c r="BZ34" s="28" t="str"><f t="shared" si="14"/><v/></c><c r="CA34" s="28" t="str"><f t="shared" si="14"/><v/></c><c r="CB34" s="28" t="str"><f t="shared" si="14"/><v/></c><c r="CC34" s="28" t="str"><f t="shared" si="14"/><v/></c><c r="CD34" s="28" t="str"><f t="shared" si="14"/><v/></c><c r="CE34" s="29" t="e"><f t="shared" si="15"/><v></v></c><c r="CF34" s="26"/><c r="CG34" s="28"><f t="shared" si="16"/><v></v></c><c r="CH34" s="28"><f t="shared" si="21"/><v></v></c><c r="CI34" s="28"><f t="shared" si="17"/><v></v></c><c r="CJ34" s="28" t="e"><f t="shared" si="18"/><v></v></c><c r="CK34" s="27" t="e"><f t="shared" si="19"/><v></v></c><c r="CL34" s="26"/><c r="CM34" s="26"/><c r="CN34" s="26"/><c r="CO34" s="26"/><c r="CP34" s="26"/><c r="CQ34" s="26"/><c r="CR34" s="26"/><c r="CS34" s="26"/><c r="DX34" s="20"/></row><row r="35" spans="1:128" ht="49.95" customHeight="1" thickTop="1" thickBot="1" x14ac:dyDescent="0.35"><c r="A35" s="10"><v>25</v></c><c r="B35" s="73"><is><t>MURAYARI TEHIO JULY ARACELY</t></is></c><c r="C35" s="35"/><c r="D35" s="11"><is><t>B</t></is></c><c r="E35" s="12"><is><t>C</t></is></c><c r="F35" s="12"><is><t></t></is></c><c r="G35" s="12"><is><t></t></is></c><c r="H35" s="12"/><c r="I35" s="12"/><c r="J35" s="13"/><c r="K35" s="61"><v>B</v></c><c r="L35" s="66"><is><t>Presenta dificultades para realizar las actividades propuestas.</t></is></c><c r="M35" s="11"><is><t></t></is></c><c r="N35" s="12"><is><t></t></is></c><c r="O35" s="12"><is><t></t></is></c><c r="P35" s="12"><is><t></t></is></c><c r="Q35" s="12"/><c r="R35" s="12"/><c r="S35" s="13"/><c r="T35" s="61"><v></v></c><c r="U35" s="66"><is><t></t></is></c><c r="V35" s="11"><is><t></t></is></c><c r="W35" s="12"><is><t></t></is></c><c r="X35" s="12"><is><t></t></is></c><c r="Y35" s="12"><is><t></t></is></c><c r="Z35" s="12"/><c r="AA35" s="12"/><c r="AB35" s="13"/><c r="AC35" s="61"><v></v></c><c r="AD35" s="66"><is><t></t></is></c><c r="AE35" s="11"/><is><t></t></is></c><c r="AM35" s="66"/><is><t></t></is></c><c r="AP35" s="34"><v></v></c><c r="AQ35" s="34"><v></v></c><c r="AR35" s="33"><v></v></c><c r="AS35" s="32" t="str"><f t="shared" si="20"/><v/></c><c r="AT35" s="79"/><c r="AU35" s="80"/><c r="AV35" s="31"/><c r="AW35" s="30"><f t="shared" si="8"/><v></v></c><c r="AX35" s="30"><f t="shared" si="8"/><v></v></c><c r="AY35" s="30"><f t="shared" si="8"/><v></v></c><c r="AZ35" s="30"><f t="shared" si="8"/><v></v></c><c r="BA35" s="30" t="str"><f t="shared" si="8"/><v/></c><c r="BB35" s="30" t="str"><f t="shared" si="8"/><v/></c><c r="BC35" s="30" t="str"><f t="shared" si="8"/><v/></c><c r="BD35" s="29"><f t="shared" si="9"/><v></v></c><c r="BE35" s="26"/><c r="BF35" s="28"><f t="shared" si="10"/><v></v></c><c r="BG35" s="28"><f t="shared" si="10"/><v></v></c><c r="BH35" s="28"><f t="shared" si="10"/><v></v></c><c r="BI35" s="28"><f t="shared" si="10"/><v></v></c><c r="BJ35" s="28" t="str"><f t="shared" si="10"/><v/></c><c r="BK35" s="28" t="str"><f t="shared" si="10"/><v/></c><c r="BL35" s="28" t="str"><f t="shared" si="10"/><v/></c><c r="BM35" s="29"><f t="shared" si="11"/><v></v></c><c r="BN35" s="26"/><c r="BO35" s="28"><f t="shared" si="12"/><v></v></c><c r="BP35" s="28"><f t="shared" si="12"/><v></v></c><c r="BQ35" s="28"><f t="shared" si="12"/><v></v></c><c r="BR35" s="28"><f t="shared" si="12"/><v></v></c><c r="BS35" s="28" t="str"><f t="shared" si="12"/><v/></c><c r="BT35" s="28" t="str"><f t="shared" si="12"/><v/></c><c r="BU35" s="28" t="str"><f t="shared" si="12"/><v/></c><c r="BV35" s="29"><f t="shared" si="13"/><v></v></c><c r="BW35" s="26"/><c r="BX35" s="28" t="str"><f t="shared" si="14"/><v/></c><c r="BY35" s="28" t="str"><f t="shared" si="14"/><v/></c><c r="BZ35" s="28" t="str"><f t="shared" si="14"/><v/></c><c r="CA35" s="28" t="str"><f t="shared" si="14"/><v/></c><c r="CB35" s="28" t="str"><f t="shared" si="14"/><v/></c><c r="CC35" s="28" t="str"><f t="shared" si="14"/><v/></c><c r="CD35" s="28" t="str"><f t="shared" si="14"/><v/></c><c r="CE35" s="29" t="e"><f t="shared" si="15"/><v></v></c><c r="CF35" s="26"/><c r="CG35" s="28"><f t="shared" si="16"/><v></v></c><c r="CH35" s="28"><f t="shared" si="21"/><v></v></c><c r="CI35" s="28"><f t="shared" si="17"/><v></v></c><c r="CJ35" s="28" t="e"><f t="shared" si="18"/><v></v></c><c r="CK35" s="27" t="e"><f t="shared" si="19"/><v></v></c><c r="CL35" s="26"/><c r="CM35" s="26"/><c r="CN35" s="26"/><c r="CO35" s="26"/><c r="CP35" s="26"/><c r="CQ35" s="26"/><c r="CR35" s="26"/><c r="CS35" s="26"/><c r="DX35" s="20"/></row><row r="36" spans="1:128" ht="49.95" customHeight="1" thickTop="1" thickBot="1" x14ac:dyDescent="0.35"><c r="A36" s="10"><v>26</v></c><c r="B36" s="73"><is><t>NAPUCHI CURITIMA, CAHORY MERCEDES</t></is></c><c r="C36" s="35"/><c r="D36" s="11"><is><t>C</t></is></c><c r="E36" s="12"><is><t>B</t></is></c><c r="F36" s="12"><is><t></t></is></c><c r="G36" s="12"><is><t></t></is></c><c r="H36" s="12"/><c r="I36" s="12"/><c r="J36" s="13"/><c r="K36" s="61"><v>B</v></c><c r="L36" s="66"><is><t>Presenta dificultades para realizar las actividades propuestas.</t></is></c><c r="M36" s="11"><is><t></t></is></c><c r="N36" s="12"><is><t></t></is></c><c r="O36" s="12"><is><t></t></is></c><c r="P36" s="12"><is><t></t></is></c><c r="Q36" s="12"/><c r="R36" s="12"/><c r="S36" s="13"/><c r="T36" s="61"><v></v></c><c r="U36" s="66"><is><t></t></is></c><c r="V36" s="11"><is><t></t></is></c><c r="W36" s="12"><is><t></t></is></c><c r="X36" s="12"><is><t></t></is></c><c r="Y36" s="12"><is><t></t></is></c><c r="Z36" s="12"/><c r="AA36" s="12"/><c r="AB36" s="13"/><c r="AC36" s="61"><v></v></c><c r="AD36" s="66"><is><t></t></is></c><c r="AE36" s="11"/><is><t></t></is></c><c r="AM36" s="66"/><is><t></t></is></c><c r="AP36" s="34"><v></v></c><c r="AQ36" s="34"><v></v></c><c r="AR36" s="33"><v></v></c><c r="AS36" s="32" t="str"><f t="shared" si="20"/><v/></c><c r="AT36" s="79"/><c r="AU36" s="80"/><c r="AV36" s="31"/><c r="AW36" s="30"><f t="shared" si="8"/><v></v></c><c r="AX36" s="30"><f t="shared" si="8"/><v></v></c><c r="AY36" s="30"><f t="shared" si="8"/><v></v></c><c r="AZ36" s="30"><f t="shared" si="8"/><v></v></c><c r="BA36" s="30" t="str"><f t="shared" si="8"/><v/></c><c r="BB36" s="30" t="str"><f t="shared" si="8"/><v/></c><c r="BC36" s="30" t="str"><f t="shared" si="8"/><v/></c><c r="BD36" s="29"><f t="shared" si="9"/><v></v></c><c r="BE36" s="26"/><c r="BF36" s="28"><f t="shared" si="10"/><v></v></c><c r="BG36" s="28"><f t="shared" si="10"/><v></v></c><c r="BH36" s="28"><f t="shared" si="10"/><v></v></c><c r="BI36" s="28"><f t="shared" si="10"/><v></v></c><c r="BJ36" s="28" t="str"><f t="shared" si="10"/><v/></c><c r="BK36" s="28" t="str"><f t="shared" si="10"/><v/></c><c r="BL36" s="28" t="str"><f t="shared" si="10"/><v/></c><c r="BM36" s="29"><f t="shared" si="11"/><v></v></c><c r="BN36" s="26"/><c r="BO36" s="28"><f t="shared" si="12"/><v></v></c><c r="BP36" s="28"><f t="shared" si="12"/><v></v></c><c r="BQ36" s="28"><f t="shared" si="12"/><v></v></c><c r="BR36" s="28"><f t="shared" si="12"/><v></v></c><c r="BS36" s="28" t="str"><f t="shared" si="12"/><v/></c><c r="BT36" s="28" t="str"><f t="shared" si="12"/><v/></c><c r="BU36" s="28" t="str"><f t="shared" si="12"/><v/></c><c r="BV36" s="29"><f t="shared" si="13"/><v></v></c><c r="BW36" s="26"/><c r="BX36" s="28" t="str"><f t="shared" si="14"/><v/></c><c r="BY36" s="28" t="str"><f t="shared" si="14"/><v/></c><c r="BZ36" s="28" t="str"><f t="shared" si="14"/><v/></c><c r="CA36" s="28" t="str"><f t="shared" si="14"/><v/></c><c r="CB36" s="28" t="str"><f t="shared" si="14"/><v/></c><c r="CC36" s="28" t="str"><f t="shared" si="14"/><v/></c><c r="CD36" s="28" t="str"><f t="shared" si="14"/><v/></c><c r="CE36" s="29" t="e"><f t="shared" si="15"/><v></v></c><c r="CF36" s="26"/><c r="CG36" s="28"><f t="shared" si="16"/><v></v></c><c r="CH36" s="28"><f t="shared" si="21"/><v></v></c><c r="CI36" s="28"><f t="shared" si="17"/><v></v></c><c r="CJ36" s="28" t="e"><f t="shared" si="18"/><v></v></c><c r="CK36" s="27" t="e"><f t="shared" si="19"/><v></v></c><c r="CL36" s="26"/><c r="CM36" s="26"/><c r="CN36" s="26"/><c r="CO36" s="26"/><c r="CP36" s="26"/><c r="CQ36" s="26"/><c r="CR36" s="26"/><c r="CS36" s="26"/><c r="DX36" s="20"/></row><row r="37" spans="1:128" ht="49.95" customHeight="1" thickTop="1" thickBot="1" x14ac:dyDescent="0.35"><c r="A37" s="10"><v>27</v></c><c r="B37" s="72"><is><t>PEREZ ZAMBRANO, ALEX NOWEL</t></is></c><c r="C37" s="35"/><c r="D37" s="11"><is><t>A</t></is></c><c r="E37" s="12"><is><t>C</t></is></c><c r="F37" s="12"><is><t></t></is></c><c r="G37" s="12"><is><t></t></is></c><c r="H37" s="12"/><c r="I37" s="12"/><c r="J37" s="13"/><c r="K37" s="61"><v>B</v></c><c r="L37" s="66"><is><t>Presenta dificultades para realizar las actividades propuestas.</t></is></c><c r="M37" s="11"><is><t></t></is></c><c r="N37" s="12"><is><t></t></is></c><c r="O37" s="12"><is><t></t></is></c><c r="P37" s="12"><is><t></t></is></c><c r="Q37" s="12"/><c r="R37" s="12"/><c r="S37" s="13"/><c r="T37" s="61"><v></v></c><c r="U37" s="66"><is><t></t></is></c><c r="V37" s="11"><is><t></t></is></c><c r="W37" s="12"><is><t></t></is></c><c r="X37" s="12"><is><t></t></is></c><c r="Y37" s="12"><is><t></t></is></c><c r="Z37" s="12"/><c r="AA37" s="12"/><c r="AB37" s="13"/><c r="AC37" s="61"><v></v></c><c r="AD37" s="66"><is><t></t></is></c><c r="AE37" s="11"/><is><t></t></is></c><c r="AM37" s="66"/><is><t></t></is></c><c r="AP37" s="34"><v></v></c><c r="AQ37" s="34"><v></v></c><c r="AR37" s="33"><v></v></c><c r="AS37" s="32" t="str"><f t="shared" si="20"/><v/></c><c r="AT37" s="79"/><c r="AU37" s="80"/><c r="AV37" s="31"/><c r="AW37" s="30"><f t="shared" si="8"/><v></v></c><c r="AX37" s="30"><f t="shared" si="8"/><v></v></c><c r="AY37" s="30"><f t="shared" si="8"/><v></v></c><c r="AZ37" s="30"><f t="shared" si="8"/><v></v></c><c r="BA37" s="30" t="str"><f t="shared" si="8"/><v/></c><c r="BB37" s="30" t="str"><f t="shared" si="8"/><v/></c><c r="BC37" s="30" t="str"><f t="shared" si="8"/><v/></c><c r="BD37" s="29"><f t="shared" si="9"/><v></v></c><c r="BE37" s="26"/><c r="BF37" s="28"><f t="shared" si="10"/><v></v></c><c r="BG37" s="28"><f t="shared" si="10"/><v></v></c><c r="BH37" s="28"><f t="shared" si="10"/><v></v></c><c r="BI37" s="28"><f t="shared" si="10"/><v></v></c><c r="BJ37" s="28" t="str"><f t="shared" si="10"/><v/></c><c r="BK37" s="28" t="str"><f t="shared" si="10"/><v/></c><c r="BL37" s="28" t="str"><f t="shared" si="10"/><v/></c><c r="BM37" s="29"><f t="shared" si="11"/><v></v></c><c r="BN37" s="26"/><c r="BO37" s="28"><f t="shared" si="12"/><v></v></c><c r="BP37" s="28"><f t="shared" si="12"/><v></v></c><c r="BQ37" s="28"><f t="shared" si="12"/><v></v></c><c r="BR37" s="28"><f t="shared" si="12"/><v></v></c><c r="BS37" s="28" t="str"><f t="shared" si="12"/><v/></c><c r="BT37" s="28" t="str"><f t="shared" si="12"/><v/></c><c r="BU37" s="28" t="str"><f t="shared" si="12"/><v/></c><c r="BV37" s="29"><f t="shared" si="13"/><v></v></c><c r="BW37" s="26"/><c r="BX37" s="28" t="str"><f t="shared" si="14"/><v/></c><c r="BY37" s="28" t="str"><f t="shared" si="14"/><v/></c><c r="BZ37" s="28" t="str"><f t="shared" si="14"/><v/></c><c r="CA37" s="28" t="str"><f t="shared" si="14"/><v/></c><c r="CB37" s="28" t="str"><f t="shared" si="14"/><v/></c><c r="CC37" s="28" t="str"><f t="shared" si="14"/><v/></c><c r="CD37" s="28" t="str"><f t="shared" si="14"/><v/></c><c r="CE37" s="29" t="e"><f t="shared" si="15"/><v></v></c><c r="CF37" s="26"/><c r="CG37" s="28"><f t="shared" si="16"/><v></v></c><c r="CH37" s="28"><f t="shared" si="21"/><v></v></c><c r="CI37" s="28"><f t="shared" si="17"/><v></v></c><c r="CJ37" s="28" t="e"><f t="shared" si="18"/><v></v></c><c r="CK37" s="27" t="e"><f t="shared" si="19"/><v></v></c><c r="CL37" s="26"/><c r="CM37" s="26"/><c r="CN37" s="26"/><c r="CO37" s="26"/><c r="CP37" s="26"/><c r="CQ37" s="26"/><c r="CR37" s="26"/><c r="CS37" s="26"/><c r="DX37" s="20"/></row><row r="38" spans="1:128" ht="49.95" customHeight="1" thickTop="1" thickBot="1" x14ac:dyDescent="0.35"><c r="A38" s="10"><v>28</v></c><c r="B38" s="72"/><is><t>PINEDO DEL CASTILLO, GABRIELA ALEXANDRA</t></is></c><c r="L38" s="66"/><is><t>Presenta dificultades para realizar las actividades propuestas.</t></is></c><c r="U38" s="66"/><is><t></t></is></c><c r="AD38" s="66"/><is><t></t></is></c><c r="AM38" s="66"/><is><t></t></is></c><c r="AP38" s="34"><v></v></c><c r="AQ38" s="34"><v></v></c><c r="AR38" s="33"><v></v></c><c r="AS38" s="32" t="str"><f t="shared" si="20"/><v/></c><c r="AT38" s="79"/><c r="AU38" s="80"/><c r="AV38" s="31"/><c r="AW38" s="30" t="str"><f t="shared" si="8"/><v/></c><c r="AX38" s="30" t="str"><f t="shared" si="8"/><v/></c><c r="AY38" s="30" t="str"><f t="shared" si="8"/><v/></c><c r="AZ38" s="30" t="str"><f t="shared" si="8"/><v/></c><c r="BA38" s="30" t="str"><f t="shared" si="8"/><v/></c><c r="BB38" s="30" t="str"><f t="shared" si="8"/><v/></c><c r="BC38" s="30" t="str"><f t="shared" si="8"/><v/></c><c r="BD38" s="29" t="e"><f t="shared" si="9"/><v></v></c><c r="BE38" s="26"/><c r="BF38" s="28" t="str"><f t="shared" si="10"/><v/></c><c r="BG38" s="28" t="str"><f t="shared" si="10"/><v/></c><c r="BH38" s="28" t="str"><f t="shared" si="10"/><v/></c><c r="BI38" s="28" t="str"><f t="shared" si="10"/><v/></c><c r="BJ38" s="28" t="str"><f t="shared" si="10"/><v/></c><c r="BK38" s="28" t="str"><f t="shared" si="10"/><v/></c><c r="BL38" s="28" t="str"><f t="shared" si="10"/><v/></c><c r="BM38" s="29" t="e"><f t="shared" si="11"/><v></v></c><c r="BN38" s="26"/><c r="BO38" s="28" t="str"><f t="shared" si="12"/><v/></c><c r="BP38" s="28" t="str"><f t="shared" si="12"/><v/></c><c r="BQ38" s="28" t="str"><f t="shared" si="12"/><v/></c><c r="BR38" s="28" t="str"><f t="shared" si="12"/><v/></c><c r="BS38" s="28" t="str"><f t="shared" si="12"/><v/></c><c r="BT38" s="28" t="str"><f t="shared" si="12"/><v/></c><c r="BU38" s="28" t="str"><f t="shared" si="12"/><v/></c><c r="BV38" s="29" t="e"><f t="shared" si="13"/><v></v></c><c r="BW38" s="26"/><c r="BX38" s="28" t="str"><f t="shared" si="14"/><v/></c><c r="BY38" s="28" t="str"><f t="shared" si="14"/><v/></c><c r="BZ38" s="28" t="str"><f t="shared" si="14"/><v/></c><c r="CA38" s="28" t="str"><f t="shared" si="14"/><v/></c><c r="CB38" s="28" t="str"><f t="shared" si="14"/><v/></c><c r="CC38" s="28" t="str"><f t="shared" si="14"/><v/></c><c r="CD38" s="28" t="str"><f t="shared" si="14"/><v/></c><c r="CE38" s="29" t="e"><f t="shared" si="15"/><v></v></c><c r="CF38" s="26"/><c r="CG38" s="28" t="e"><f t="shared" si="16"/><v></v></c><c r="CH38" s="28" t="e"><f t="shared" si="21"/><v></v></c><c r="CI38" s="28" t="e"><f t="shared" si="17"/><v></v></c><c r="CJ38" s="28" t="e"><f t="shared" si="18"/><v></v></c><c r="CK38" s="27" t="e"><f t="shared" si="19"/><v></v></c><c r="CL38" s="26"/><c r="CM38" s="26"/><c r="CN38" s="26"/><c r="CO38" s="26"/><c r="CP38" s="26"/><c r="CQ38" s="26"/><c r="CR38" s="26"/><c r="CS38" s="26"/><c r="DX38" s="20"/></row><row r="39" spans="1:128" ht="49.95" customHeight="1" thickTop="1" thickBot="1" x14ac:dyDescent="0.35"><c r="A39" s="10"><v>29</v></c><c r="B39" s="72"/><is><t>PIZANGO CURINUQUI, ANA LIA</t></is></c><c r="L39" s="66"/><is><t>No logra realizar las actividades propuestas.</t></is></c><c r="U39" s="66"/><is><t></t></is></c><c r="AD39" s="66"/><is><t></t></is></c><c r="AM39" s="66"/><is><t></t></is></c><c r="AP39" s="34"><v></v></c><c r="AQ39" s="34"><v></v></c><c r="AR39" s="33"><v></v></c><c r="AS39" s="32" t="str"><f t="shared" si="20"/><v/></c><c r="AT39" s="79"/><c r="AU39" s="80"/><c r="AV39" s="31"/><c r="AW39" s="30" t="str"><f t="shared" si="8"/><v/></c><c r="AX39" s="30" t="str"><f t="shared" si="8"/><v/></c><c r="AY39" s="30" t="str"><f t="shared" si="8"/><v/></c><c r="AZ39" s="30" t="str"><f t="shared" si="8"/><v/></c><c r="BA39" s="30" t="str"><f t="shared" si="8"/><v/></c><c r="BB39" s="30" t="str"><f t="shared" si="8"/><v/></c><c r="BC39" s="30" t="str"><f t="shared" si="8"/><v/></c><c r="BD39" s="29" t="e"><f t="shared" si="9"/><v></v></c><c r="BE39" s="26"/><c r="BF39" s="28" t="str"><f t="shared" si="10"/><v/></c><c r="BG39" s="28" t="str"><f t="shared" si="10"/><v/></c><c r="BH39" s="28" t="str"><f t="shared" si="10"/><v/></c><c r="BI39" s="28" t="str"><f t="shared" si="10"/><v/></c><c r="BJ39" s="28" t="str"><f t="shared" si="10"/><v/></c><c r="BK39" s="28" t="str"><f t="shared" si="10"/><v/></c><c r="BL39" s="28" t="str"><f t="shared" si="10"/><v/></c><c r="BM39" s="29" t="e"><f t="shared" si="11"/><v></v></c><c r="BN39" s="26"/><c r="BO39" s="28" t="str"><f t="shared" si="12"/><v/></c><c r="BP39" s="28" t="str"><f t="shared" si="12"/><v/></c><c r="BQ39" s="28" t="str"><f t="shared" si="12"/><v/></c><c r="BR39" s="28" t="str"><f t="shared" si="12"/><v/></c><c r="BS39" s="28" t="str"><f t="shared" si="12"/><v/></c><c r="BT39" s="28" t="str"><f t="shared" si="12"/><v/></c><c r="BU39" s="28" t="str"><f t="shared" si="12"/><v/></c><c r="BV39" s="29" t="e"><f t="shared" si="13"/><v></v></c><c r="BW39" s="26"/><c r="BX39" s="28" t="str"><f t="shared" si="14"/><v/></c><c r="BY39" s="28" t="str"><f t="shared" si="14"/><v/></c><c r="BZ39" s="28" t="str"><f t="shared" si="14"/><v/></c><c r="CA39" s="28" t="str"><f t="shared" si="14"/><v/></c><c r="CB39" s="28" t="str"><f t="shared" si="14"/><v/></c><c r="CC39" s="28" t="str"><f t="shared" si="14"/><v/></c><c r="CD39" s="28" t="str"><f t="shared" si="14"/><v/></c><c r="CE39" s="29" t="e"><f t="shared" si="15"/><v></v></c><c r="CF39" s="26"/><c r="CG39" s="28" t="e"><f t="shared" si="16"/><v></v></c><c r="CH39" s="28" t="e"><f t="shared" si="21"/><v></v></c><c r="CI39" s="28" t="e"><f t="shared" si="17"/><v></v></c><c r="CJ39" s="28" t="e"><f t="shared" si="18"/><v></v></c><c r="CK39" s="27" t="e"><f t="shared" si="19"/><v></v></c><c r="CL39" s="26"/><c r="CM39" s="26"/><c r="CN39" s="26"/><c r="CO39" s="26"/><c r="CP39" s="26"/><c r="CQ39" s="26"/><c r="CR39" s="26"/><c r="CS39" s="26"/><c r="DX39" s="20"/></row><row r="40" spans="1:128" ht="49.95" customHeight="1" thickTop="1" thickBot="1" x14ac:dyDescent="0.35"><c r="A40" s="10"><v>30</v></c><c r="B40" s="72"/><is><t>QUISPE INUMA GREYS PRISSILA</t></is></c><c r="L40" s="66"/><is><t>Presenta dificultades para realizar las actividades propuestas.</t></is></c><c r="U40" s="66"/><is><t></t></is></c><c r="AD40" s="66"/><is><t></t></is></c><c r="AM40" s="66"/><is><t></t></is></c><c r="AP40" s="34"><v></v></c><c r="AQ40" s="34"><v></v></c><c r="AR40" s="33"><v></v></c><c r="AS40" s="32" t="str"><f t="shared" si="20"/><v/></c><c r="AT40" s="79"/><c r="AU40" s="80"/><c r="AV40" s="31"/><c r="AW40" s="30" t="str"><f t="shared" si="8"/><v/></c><c r="AX40" s="30" t="str"><f t="shared" si="8"/><v/></c><c r="AY40" s="30" t="str"><f t="shared" si="8"/><v/></c><c r="AZ40" s="30" t="str"><f t="shared" si="8"/><v/></c><c r="BA40" s="30" t="str"><f t="shared" si="8"/><v/></c><c r="BB40" s="30" t="str"><f t="shared" si="8"/><v/></c><c r="BC40" s="30" t="str"><f t="shared" si="8"/><v/></c><c r="BD40" s="29" t="e"><f t="shared" si="9"/><v></v></c><c r="BE40" s="26"/><c r="BF40" s="28" t="str"><f t="shared" si="10"/><v/></c><c r="BG40" s="28" t="str"><f t="shared" si="10"/><v/></c><c r="BH40" s="28" t="str"><f t="shared" si="10"/><v/></c><c r="BI40" s="28" t="str"><f t="shared" si="10"/><v/></c><c r="BJ40" s="28" t="str"><f t="shared" si="10"/><v/></c><c r="BK40" s="28" t="str"><f t="shared" si="10"/><v/></c><c r="BL40" s="28" t="str"><f t="shared" si="10"/><v/></c><c r="BM40" s="29" t="e"><f t="shared" si="11"/><v></v></c><c r="BN40" s="26"/><c r="BO40" s="28" t="str"><f t="shared" si="12"/><v/></c><c r="BP40" s="28" t="str"><f t="shared" si="12"/><v/></c><c r="BQ40" s="28" t="str"><f t="shared" si="12"/><v/></c><c r="BR40" s="28" t="str"><f t="shared" si="12"/><v/></c><c r="BS40" s="28" t="str"><f t="shared" si="12"/><v/></c><c r="BT40" s="28" t="str"><f t="shared" si="12"/><v/></c><c r="BU40" s="28" t="str"><f t="shared" si="12"/><v/></c><c r="BV40" s="29" t="e"><f t="shared" si="13"/><v></v></c><c r="BW40" s="26"/><c r="BX40" s="28" t="str"><f t="shared" si="14"/><v/></c><c r="BY40" s="28" t="str"><f t="shared" si="14"/><v/></c><c r="BZ40" s="28" t="str"><f t="shared" si="14"/><v/></c><c r="CA40" s="28" t="str"><f t="shared" si="14"/><v/></c><c r="CB40" s="28" t="str"><f t="shared" si="14"/><v/></c><c r="CC40" s="28" t="str"><f t="shared" si="14"/><v/></c><c r="CD40" s="28" t="str"><f t="shared" si="14"/><v/></c><c r="CE40" s="29" t="e"><f t="shared" si="15"/><v></v></c><c r="CF40" s="26"/><c r="CG40" s="28" t="e"><f t="shared" si="16"/><v></v></c><c r="CH40" s="28" t="e"><f t="shared" si="21"/><v></v></c><c r="CI40" s="28" t="e"><f t="shared" si="17"/><v></v></c><c r="CJ40" s="28" t="e"><f t="shared" si="18"/><v></v></c><c r="CK40" s="27" t="e"><f t="shared" si="19"/><v></v></c><c r="CL40" s="26"/><c r="CM40" s="26"/><c r="CN40" s="26"/><c r="CO40" s="26"/><c r="CP40" s="26"/><c r="CQ40" s="26"/><c r="CR40" s="26"/><c r="CS40" s="26"/><c r="DX40" s="20"/></row><row r="41" spans="1:128" ht="49.95" customHeight="1" thickTop="1" thickBot="1" x14ac:dyDescent="0.35"><c r="A41" s="10"><v>31</v></c><c r="B41" s="71"/><is><t>RAMIREZ NOTENO, DAN</t></is></c><c r="L41" s="66"/><is><t>No logra realizar las actividades propuestas.</t></is></c><c r="U41" s="66"/><is><t></t></is></c><c r="AD41" s="66"/><is><t></t></is></c><c r="AM41" s="66"/><is><t></t></is></c><c r="AP41" s="34"><v></v></c><c r="AQ41" s="34"><v></v></c><c r="AR41" s="33"><v></v></c><c r="AS41" s="32" t="str"><f t="shared" si="20"/><v/></c><c r="AT41" s="79"/><c r="AU41" s="80"/><c r="AV41" s="31"/><c r="AW41" s="30" t="str"><f t="shared" si="8"/><v/></c><c r="AX41" s="30" t="str"><f t="shared" si="8"/><v/></c><c r="AY41" s="30" t="str"><f t="shared" si="8"/><v/></c><c r="AZ41" s="30" t="str"><f t="shared" si="8"/><v/></c><c r="BA41" s="30" t="str"><f t="shared" si="8"/><v/></c><c r="BB41" s="30" t="str"><f t="shared" si="8"/><v/></c><c r="BC41" s="30" t="str"><f t="shared" si="8"/><v/></c><c r="BD41" s="29" t="e"><f t="shared" si="9"/><v>#DIV/0!</v></c><c r="BE41" s="26"/><c r="BF41" s="28" t="str"><f t="shared" si="10"/><v/></c><c r="BG41" s="28" t="str"><f t="shared" si="10"/><v/></c><c r="BH41" s="28" t="str"><f t="shared" si="10"/><v/></c><c r="BI41" s="28" t="str"><f t="shared" si="10"/><v/></c><c r="BJ41" s="28" t="str"><f t="shared" si="10"/><v/></c><c r="BK41" s="28" t="str"><f t="shared" si="10"/><v/></c><c r="BL41" s="28" t="str"><f t="shared" si="10"/><v/></c><c r="BM41" s="29" t="e"><f t="shared" si="11"/><v>#DIV/0!</v></c><c r="BN41" s="26"/><c r="BO41" s="28" t="str"><f t="shared" si="12"/><v/></c><c r="BP41" s="28" t="str"><f t="shared" si="12"/><v/></c><c r="BQ41" s="28" t="str"><f t="shared" si="12"/><v/></c><c r="BR41" s="28" t="str"><f t="shared" si="12"/><v/></c><c r="BS41" s="28" t="str"><f t="shared" si="12"/><v/></c><c r="BT41" s="28" t="str"><f t="shared" si="12"/><v/></c><c r="BU41" s="28" t="str"><f t="shared" si="12"/><v/></c><c r="BV41" s="29" t="e"><f t="shared" si="13"/><v>#DIV/0!</v></c><c r="BW41" s="26"/><c r="BX41" s="28" t="str"><f t="shared" si="14"/><v/></c><c r="BY41" s="28" t="str"><f t="shared" si="14"/><v/></c><c r="BZ41" s="28" t="str"><f t="shared" si="14"/><v/></c><c r="CA41" s="28" t="str"><f t="shared" si="14"/><v/></c><c r="CB41" s="28" t="str"><f t="shared" si="14"/><v/></c><c r="CC41" s="28" t="str"><f t="shared" si="14"/><v/></c><c r="CD41" s="28" t="str"><f t="shared" si="14"/><v/></c><c r="CE41" s="29" t="e"><f t="shared" si="15"/><v>#DIV/0!</v></c><c r="CF41" s="26"/><c r="CG41" s="28" t="e"><f t="shared" si="16"/><v>#DIV/0!</v></c><c r="CH41" s="28" t="e"><f t="shared" si="21"/><v>#DIV/0!</v></c><c r="CI41" s="28" t="e"><f t="shared" si="17"/><v>#DIV/0!</v></c><c r="CJ41" s="28" t="e"><f t="shared" si="18"/><v>#DIV/0!</v></c><c r="CK41" s="27" t="e"><f t="shared" si="19"/><v>#DIV/0!</v></c><c r="CL41" s="26"/><c r="CM41" s="26"/><c r="CN41" s="26"/><c r="CO41" s="26"/><c r="CP41" s="26"/><c r="CQ41" s="26"/><c r="CR41" s="26"/><c r="CS41" s="26"/><c r="DX41" s="20"/></row><row r="42" spans="1:128" ht="49.95" customHeight="1" thickTop="1" thickBot="1" x14ac:dyDescent="0.35"><c r="A42" s="10"><v>32</v></c><c r="B42" s="73"/><is><t>REATEGUI TAPULLIMA, GENESIS MILETH</t></is></c><c r="L42" s="66"/><is><t>Presenta dificultades para realizar las actividades propuestas.</t></is></c><c r="U42" s="66"/><is><t></t></is></c><c r="AD42" s="66"/><is><t></t></is></c><c r="AM42" s="66"/><is><t></t></is></c><c r="AP42" s="34"><v></v></c><c r="AQ42" s="34"><v></v></c><c r="AR42" s="33"><v></v></c><c r="AS42" s="32" t="str"><f t="shared" si="20"/><v/></c><c r="AT42" s="79"/><c r="AU42" s="80"/><c r="AV42" s="31"/><c r="AW42" s="30" t="str"><f t="shared" si="8"/><v/></c><c r="AX42" s="30" t="str"><f t="shared" si="8"/><v/></c><c r="AY42" s="30" t="str"><f t="shared" si="8"/><v/></c><c r="AZ42" s="30" t="str"><f t="shared" si="8"/><v/></c><c r="BA42" s="30" t="str"><f t="shared" si="8"/><v/></c><c r="BB42" s="30" t="str"><f t="shared" si="8"/><v/></c><c r="BC42" s="30" t="str"><f t="shared" si="8"/><v/></c><c r="BD42" s="29" t="e"><f t="shared" si="9"/><v>#DIV/0!</v></c><c r="BE42" s="26"/><c r="BF42" s="28" t="str"><f t="shared" si="10"/><v/></c><c r="BG42" s="28" t="str"><f t="shared" si="10"/><v/></c><c r="BH42" s="28" t="str"><f t="shared" si="10"/><v/></c><c r="BI42" s="28" t="str"><f t="shared" si="10"/><v/></c><c r="BJ42" s="28" t="str"><f t="shared" si="10"/><v/></c><c r="BK42" s="28" t="str"><f t="shared" si="10"/><v/></c><c r="BL42" s="28" t="str"><f t="shared" si="10"/><v/></c><c r="BM42" s="29" t="e"><f t="shared" si="11"/><v>#DIV/0!</v></c><c r="BN42" s="26"/><c r="BO42" s="28" t="str"><f t="shared" si="12"/><v/></c><c r="BP42" s="28" t="str"><f t="shared" si="12"/><v/></c><c r="BQ42" s="28" t="str"><f t="shared" si="12"/><v/></c><c r="BR42" s="28" t="str"><f t="shared" si="12"/><v/></c><c r="BS42" s="28" t="str"><f t="shared" si="12"/><v/></c><c r="BT42" s="28" t="str"><f t="shared" si="12"/><v/></c><c r="BU42" s="28" t="str"><f t="shared" si="12"/><v/></c><c r="BV42" s="29" t="e"><f t="shared" si="13"/><v>#DIV/0!</v></c><c r="BW42" s="26"/><c r="BX42" s="28" t="str"><f t="shared" si="14"/><v/></c><c r="BY42" s="28" t="str"><f t="shared" si="14"/><v/></c><c r="BZ42" s="28" t="str"><f t="shared" si="14"/><v/></c><c r="CA42" s="28" t="str"><f t="shared" si="14"/><v/></c><c r="CB42" s="28" t="str"><f t="shared" si="14"/><v/></c><c r="CC42" s="28" t="str"><f t="shared" si="14"/><v/></c><c r="CD42" s="28" t="str"><f t="shared" si="14"/><v/></c><c r="CE42" s="29" t="e"><f t="shared" si="15"/><v>#DIV/0!</v></c><c r="CF42" s="26"/><c r="CG42" s="28" t="e"><f t="shared" si="16"/><v>#DIV/0!</v></c><c r="CH42" s="28" t="e"><f t="shared" si="21"/><v>#DIV/0!</v></c><c r="CI42" s="28" t="e"><f t="shared" si="17"/><v>#DIV/0!</v></c><c r="CJ42" s="28" t="e"><f t="shared" si="18"/><v>#DIV/0!</v></c><c r="CK42" s="27" t="e"><f t="shared" si="19"/><v>#DIV/0!</v></c><c r="CL42" s="26"/><c r="CM42" s="26"/><c r="CN42" s="26"/><c r="CO42" s="26"/><c r="CP42" s="26"/><c r="CQ42" s="26"/><c r="CR42" s="26"/><c r="CS42" s="26"/><c r="DX42" s="20"/></row><row r="43" spans="1:128" ht="49.95" customHeight="1" thickTop="1" thickBot="1" x14ac:dyDescent="0.35"><c r="A43" s="10"><v>33</v></c><c r="B43" s="73"/><is><t>SALAS GUERRA JUAN NEYMAR JUNIOR</t></is></c><c r="L43" s="66"/><is><t>No logra realizar las actividades propuestas.</t></is></c><c r="U43" s="66"/><is><t></t></is></c><c r="AD43" s="66"/><is><t></t></is></c><c r="AM43" s="66"/><is><t></t></is></c><c r="AP43" s="34"><v></v></c><c r="AQ43" s="34"><v></v></c><c r="AR43" s="33"><v></v></c><c r="AS43" s="32" t="str"><f t="shared" si="20"/><v/></c><c r="AT43" s="79"/><c r="AU43" s="80"/><c r="AV43" s="31"/><c r="AW43" s="30" t="str"><f t="shared" si="8"/><v/></c><c r="AX43" s="30" t="str"><f t="shared" si="8"/><v/></c><c r="AY43" s="30" t="str"><f t="shared" si="8"/><v/></c><c r="AZ43" s="30" t="str"><f t="shared" si="8"/><v/></c><c r="BA43" s="30" t="str"><f t="shared" si="8"/><v/></c><c r="BB43" s="30" t="str"><f t="shared" si="8"/><v/></c><c r="BC43" s="30" t="str"><f t="shared" si="8"/><v/></c><c r="BD43" s="29" t="e"><f t="shared" si="9"/><v>#DIV/0!</v></c><c r="BE43" s="26"/><c r="BF43" s="28" t="str"><f t="shared" si="10"/><v/></c><c r="BG43" s="28" t="str"><f t="shared" si="10"/><v/></c><c r="BH43" s="28" t="str"><f t="shared" si="10"/><v/></c><c r="BI43" s="28" t="str"><f t="shared" si="10"/><v/></c><c r="BJ43" s="28" t="str"><f t="shared" si="10"/><v/></c><c r="BK43" s="28" t="str"><f t="shared" si="10"/><v/></c><c r="BL43" s="28" t="str"><f t="shared" si="10"/><v/></c><c r="BM43" s="29" t="e"><f t="shared" si="11"/><v>#DIV/0!</v></c><c r="BN43" s="26"/><c r="BO43" s="28" t="str"><f t="shared" si="12"/><v/></c><c r="BP43" s="28" t="str"><f t="shared" si="12"/><v/></c><c r="BQ43" s="28" t="str"><f t="shared" si="12"/><v/></c><c r="BR43" s="28" t="str"><f t="shared" si="12"/><v/></c><c r="BS43" s="28" t="str"><f t="shared" si="12"/><v/></c><c r="BT43" s="28" t="str"><f t="shared" si="12"/><v/></c><c r="BU43" s="28" t="str"><f t="shared" si="12"/><v/></c><c r="BV43" s="29" t="e"><f t="shared" si="13"/><v>#DIV/0!</v></c><c r="BW43" s="26"/><c r="BX43" s="28" t="str"><f t="shared" si="14"/><v/></c><c r="BY43" s="28" t="str"><f t="shared" si="14"/><v/></c><c r="BZ43" s="28" t="str"><f t="shared" si="14"/><v/></c><c r="CA43" s="28" t="str"><f t="shared" si="14"/><v/></c><c r="CB43" s="28" t="str"><f t="shared" si="14"/><v/></c><c r="CC43" s="28" t="str"><f t="shared" si="14"/><v/></c><c r="CD43" s="28" t="str"><f t="shared" si="14"/><v/></c><c r="CE43" s="29" t="e"><f t="shared" si="15"/><v>#DIV/0!</v></c><c r="CF43" s="26"/><c r="CG43" s="28" t="e"><f t="shared" si="16"/><v>#DIV/0!</v></c><c r="CH43" s="28" t="e"><f t="shared" si="21"/><v>#DIV/0!</v></c><c r="CI43" s="28" t="e"><f t="shared" si="17"/><v>#DIV/0!</v></c><c r="CJ43" s="28" t="e"><f t="shared" si="18"/><v>#DIV/0!</v></c><c r="CK43" s="27" t="e"><f t="shared" si="19"/><v>#DIV/0!</v></c><c r="CL43" s="26"/><c r="CM43" s="26"/><c r="CN43" s="26"/><c r="CO43" s="26"/><c r="CP43" s="26"/><c r="CQ43" s="26"/><c r="CR43" s="26"/><c r="CS43" s="26"/><c r="DX43" s="20"/></row><row r="44" spans="1:128" ht="49.95" customHeight="1" thickTop="1" thickBot="1" x14ac:dyDescent="0.35"><c r="A44" s="10"><v>34</v></c><c r="B44" s="70"/><is><t>SALAS SANGAMA WENDY LEYDI</t></is></c><c r="L44" s="66"/><is><t>Presenta dificultades para realizar las actividades propuestas.</t></is></c><c r="U44" s="66"/><is><t></t></is></c><c r="AD44" s="66"/><is><t></t></is></c><c r="AM44" s="66"/><is><t></t></is></c><c r="AP44" s="34"><v></v></c><c r="AQ44" s="34"><v></v></c><c r="AR44" s="33"><v></v></c><c r="AS44" s="32" t="str"><f t="shared" si="20"/><v/></c><c r="AT44" s="79"/><c r="AU44" s="80"/><c r="AV44" s="31"/><c r="AW44" s="30" t="str"><f t="shared" si="8"/><v/></c><c r="AX44" s="30" t="str"><f t="shared" si="8"/><v/></c><c r="AY44" s="30" t="str"><f t="shared" si="8"/><v/></c><c r="AZ44" s="30" t="str"><f t="shared" si="8"/><v/></c><c r="BA44" s="30" t="str"><f t="shared" si="8"/><v/></c><c r="BB44" s="30" t="str"><f t="shared" si="8"/><v/></c><c r="BC44" s="30" t="str"><f t="shared" si="8"/><v/></c><c r="BD44" s="29" t="e"><f t="shared" si="9"/><v>#DIV/0!</v></c><c r="BE44" s="26"/><c r="BF44" s="28" t="str"><f t="shared" si="10"/><v/></c><c r="BG44" s="28" t="str"><f t="shared" si="10"/><v/></c><c r="BH44" s="28" t="str"><f t="shared" si="10"/><v/></c><c r="BI44" s="28" t="str"><f t="shared" si="10"/><v/></c><c r="BJ44" s="28" t="str"><f t="shared" si="10"/><v/></c><c r="BK44" s="28" t="str"><f t="shared" si="10"/><v/></c><c r="BL44" s="28" t="str"><f t="shared" si="10"/><v/></c><c r="BM44" s="29" t="e"><f t="shared" si="11"/><v>#DIV/0!</v></c><c r="BN44" s="26"/><c r="BO44" s="28" t="str"><f t="shared" si="12"/><v/></c><c r="BP44" s="28" t="str"><f t="shared" si="12"/><v/></c><c r="BQ44" s="28" t="str"><f t="shared" si="12"/><v/></c><c r="BR44" s="28" t="str"><f t="shared" si="12"/><v/></c><c r="BS44" s="28" t="str"><f t="shared" si="12"/><v/></c><c r="BT44" s="28" t="str"><f t="shared" si="12"/><v/></c><c r="BU44" s="28" t="str"><f t="shared" si="12"/><v/></c><c r="BV44" s="29" t="e"><f t="shared" si="13"/><v>#DIV/0!</v></c><c r="BW44" s="26"/><c r="BX44" s="28" t="str"><f t="shared" si="14"/><v/></c><c r="BY44" s="28" t="str"><f t="shared" si="14"/><v/></c><c r="BZ44" s="28" t="str"><f t="shared" si="14"/><v/></c><c r="CA44" s="28" t="str"><f t="shared" si="14"/><v/></c><c r="CB44" s="28" t="str"><f t="shared" si="14"/><v/></c><c r="CC44" s="28" t="str"><f t="shared" si="14"/><v/></c><c r="CD44" s="28" t="str"><f t="shared" si="14"/><v/></c><c r="CE44" s="29" t="e"><f t="shared" si="15"/><v>#DIV/0!</v></c><c r="CF44" s="26"/><c r="CG44" s="28" t="e"><f t="shared" si="16"/><v>#DIV/0!</v></c><c r="CH44" s="28" t="e"><f t="shared" si="21"/><v>#DIV/0!</v></c><c r="CI44" s="28" t="e"><f t="shared" si="17"/><v>#DIV/0!</v></c><c r="CJ44" s="28" t="e"><f t="shared" si="18"/><v>#DIV/0!</v></c><c r="CK44" s="27" t="e"><f t="shared" si="19"/><v>#DIV/0!</v></c><c r="CL44" s="26"/><c r="CM44" s="26"/><c r="CN44" s="26"/><c r="CO44" s="26"/><c r="CP44" s="26"/><c r="CQ44" s="26"/><c r="CR44" s="26"/><c r="CS44" s="26"/><c r="DX44" s="20"/></row><row r="45" spans="1:128" ht="49.95" customHeight="1" thickTop="1" thickBot="1" x14ac:dyDescent="0.35"><c r="A45" s="10"><v>35</v></c><c r="B45" s="4"/><is><t>SANDOVAL FASANANDO, JEFFERSON FERNANDO</t></is></c><c r="L45" s="66"/><is><t>Logra realizar las actividades propuestas de manera satisfactoria.</t></is></c><c r="U45" s="66"/><is><t></t></is></c><c r="AD45" s="66"/><is><t></t></is></c><c r="AM45" s="66"/><is><t></t></is></c><c r="AP45" s="34"><v></v></c><c r="AQ45" s="34"><v></v></c><c r="AR45" s="33"><v></v></c><c r="AS45" s="32" t="str"><f t="shared" si="20"/><v/></c><c r="AT45" s="76"/><c r="AU45" s="77"/><c r="AV45" s="31"/><c r="AW45" s="30" t="str"><f t="shared" si="8"/><v/></c><c r="AX45" s="30" t="str"><f t="shared" si="8"/><v/></c><c r="AY45" s="30" t="str"><f t="shared" si="8"/><v/></c><c r="AZ45" s="30" t="str"><f t="shared" si="8"/><v/></c><c r="BA45" s="30" t="str"><f t="shared" si="8"/><v/></c><c r="BB45" s="30" t="str"><f t="shared" si="8"/><v/></c><c r="BC45" s="30" t="str"><f t="shared" si="8"/><v/></c><c r="BD45" s="29" t="e"><f t="shared" si="9"/><v>#DIV/0!</v></c><c r="BE45" s="26"/><c r="BF45" s="28" t="str"><f t="shared" si="10"/><v/></c><c r="BG45" s="28" t="str"><f t="shared" si="10"/><v/></c><c r="BH45" s="28" t="str"><f t="shared" si="10"/><v/></c><c r="BI45" s="28" t="str"><f t="shared" si="10"/><v/></c><c r="BJ45" s="28" t="str"><f t="shared" si="10"/><v/></c><c r="BK45" s="28" t="str"><f t="shared" si="10"/><v/></c><c r="BL45" s="28" t="str"><f t="shared" si="10"/><v/></c><c r="BM45" s="29" t="e"><f t="shared" si="11"/><v>#DIV/0!</v></c><c r="BN45" s="26"/><c r="BO45" s="28" t="str"><f t="shared" si="12"/><v/></c><c r="BP45" s="28" t="str"><f t="shared" si="12"/><v/></c><c r="BQ45" s="28" t="str"><f t="shared" si="12"/><v/></c><c r="BR45" s="28" t="str"><f t="shared" si="12"/><v/></c><c r="BS45" s="28" t="str"><f t="shared" si="12"/><v/></c><c r="BT45" s="28" t="str"><f t="shared" si="12"/><v/></c><c r="BU45" s="28" t="str"><f t="shared" si="12"/><v/></c><c r="BV45" s="29" t="e"><f t="shared" si="13"/><v>#DIV/0!</v></c><c r="BW45" s="26"/><c r="BX45" s="28" t="str"><f t="shared" si="14"/><v/></c><c r="BY45" s="28" t="str"><f t="shared" si="14"/><v/></c><c r="BZ45" s="28" t="str"><f t="shared" si="14"/><v/></c><c r="CA45" s="28" t="str"><f t="shared" si="14"/><v/></c><c r="CB45" s="28" t="str"><f t="shared" si="14"/><v/></c><c r="CC45" s="28" t="str"><f t="shared" si="14"/><v/></c><c r="CD45" s="28" t="str"><f t="shared" si="14"/><v/></c><c r="CE45" s="29" t="e"><f t="shared" si="15"/><v>#DIV/0!</v></c><c r="CF45" s="26"/><c r="CG45" s="28" t="e"><f t="shared" si="16"/><v>#DIV/0!</v></c><c r="CH45" s="28" t="e"><f t="shared" si="21"/><v>#DIV/0!</v></c><c r="CI45" s="28" t="e"><f t="shared" si="17"/><v>#DIV/0!</v></c><c r="CJ45" s="28" t="e"><f t="shared" si="18"/><v>#DIV/0!</v></c><c r="CK45" s="27" t="e"><f t="shared" si="19"/><v>#DIV/0!</v></c><c r="CL45" s="26"/><c r="CM45" s="26"/><c r="CN45" s="26"/><c r="CO45" s="26"/><c r="CP45" s="26"/><c r="CQ45" s="26"/><c r="CR45" s="26"/><c r="CS45" s="26"/><c r="DX45" s="20"/></row><row r="46" spans="1:128" ht="49.95" customHeight="1" thickTop="1" thickBot="1" x14ac:dyDescent="0.35"><c r="A46" s="10"><v>36</v></c><c r="B46" s="4"/><is><t>SHUPINGAHUA AYAMBO JANS ANDERSON</t></is></c><c r="L46" s="66"/><is><t>No logra realizar las actividades propuestas.</t></is></c><c r="U46" s="66"/><is><t></t></is></c><c r="AD46" s="66"/><is><t></t></is></c><c r="AM46" s="66"/><is><t></t></is></c><c r="AP46" s="34"><v></v></c><c r="AQ46" s="34"><v></v></c><c r="AR46" s="33"><v></v></c><c r="AS46" s="32" t="str"><f t="shared" si="20"/><v/></c><c r="AT46" s="76"/><c r="AU46" s="77"/><c r="AV46" s="31"/><c r="AW46" s="30" t="str"><f t="shared" ref="AW46:BC50" si="22">+IF(D46="","",IF(D46="AD",4,IF(D46="A",3,IF(D46="B",2,IF(D46="C",1)))))</f><v/></c><c r="AX46" s="30" t="str"><f t="shared" si="22"/><v/></c><c r="AY46" s="30" t="str"><f t="shared" si="22"/><v/></c><c r="AZ46" s="30" t="str"><f t="shared" si="22"/><v/></c><c r="BA46" s="30" t="str"><f t="shared" si="22"/><v/></c><c r="BB46" s="30" t="str"><f t="shared" si="22"/><v/></c><c r="BC46" s="30" t="str"><f t="shared" si="22"/><v/></c><c r="BD46" s="29" t="e"><f t="shared" si="9"/><v>#DIV/0!</v></c><c r="BE46" s="26"/><c r="BF46" s="28" t="str"><f t="shared" ref="BF46:BL50" si="23">+IF(M46="","",IF(M46="AD",4,IF(M46="A",3,IF(M46="B",2,IF(M46="C",1)))))</f><v/></c><c r="BG46" s="28" t="str"><f t="shared" si="23"/><v/></c><c r="BH46" s="28" t="str"><f t="shared" si="23"/><v/></c><c r="BI46" s="28" t="str"><f t="shared" si="23"/><v/></c><c r="BJ46" s="28" t="str"><f t="shared" si="23"/><v/></c><c r="BK46" s="28" t="str"><f t="shared" si="23"/><v/></c><c r="BL46" s="28" t="str"><f t="shared" si="23"/><v/></c><c r="BM46" s="29" t="e"><f t="shared" si="11"/><v>#DIV/0!</v></c><c r="BN46" s="26"/><c r="BO46" s="28" t="str"><f t="shared" ref="BO46:BU50" si="24">+IF(V46="","",IF(V46="AD",4,IF(V46="A",3,IF(V46="B",2,IF(V46="C",1)))))</f><v/></c><c r="BP46" s="28" t="str"><f t="shared" si="24"/><v/></c><c r="BQ46" s="28" t="str"><f t="shared" si="24"/><v/></c><c r="BR46" s="28" t="str"><f t="shared" si="24"/><v/></c><c r="BS46" s="28" t="str"><f t="shared" si="24"/><v/></c><c r="BT46" s="28" t="str"><f t="shared" si="24"/><v/></c><c r="BU46" s="28" t="str"><f t="shared" si="24"/><v/></c><c r="BV46" s="29" t="e"><f t="shared" si="13"/><v>#DIV/0!</v></c><c r="BW46" s="26"/><c r="BX46" s="28" t="str"><f t="shared" ref="BX46:CD50" si="25">+IF(AE46="","",IF(AE46="AD",4,IF(AE46="A",3,IF(AE46="B",2,IF(AE46="C",1)))))</f><v/></c><c r="BY46" s="28" t="str"><f t="shared" si="25"/><v/></c><c r="BZ46" s="28" t="str"><f t="shared" si="25"/><v/></c><c r="CA46" s="28" t="str"><f t="shared" si="25"/><v/></c><c r="CB46" s="28" t="str"><f t="shared" si="25"/><v/></c><c r="CC46" s="28" t="str"><f t="shared" si="25"/><v/></c><c r="CD46" s="28" t="str"><f t="shared" si="25"/><v/></c><c r="CE46" s="29" t="e"><f t="shared" si="15"/><v>#DIV/0!</v></c><c r="CF46" s="26"/><c r="CG46" s="28" t="e"><f t="shared" si="16"/><v>#DIV/0!</v></c><c r="CH46" s="28" t="e"><f t="shared" si="21"/><v>#DIV/0!</v></c><c r="CI46" s="28" t="e"><f t="shared" si="17"/><v>#DIV/0!</v></c><c r="CJ46" s="28" t="e"><f t="shared" si="18"/><v>#DIV/0!</v></c><c r="CK46" s="27" t="e"><f t="shared" si="19"/><v>#DIV/0!</v></c><c r="CL46" s="26"/><c r="CM46" s="26"/><c r="CN46" s="26"/><c r="CO46" s="26"/><c r="CP46" s="26"/><c r="CQ46" s="26"/><c r="CR46" s="26"/><c r="CS46" s="26"/><c r="DX46" s="20"/></row><row r="47" spans="1:128" ht="49.95" customHeight="1" thickTop="1" thickBot="1" x14ac:dyDescent="0.35"><c r="A47" s="10"><v>37</v></c><c r="B47" s="4"/><is><t>TAPAYURI HUALINGA TREISY MISHEL</t></is></c><c r="L47" s="66"/><is><t>Logra realizar las actividades propuestas de manera satisfactoria.</t></is></c><c r="U47" s="66"/><is><t></t></is></c><c r="AD47" s="66"/><is><t></t></is></c><c r="AM47" s="66"/><is><t></t></is></c><c r="AP47" s="34"><v></v></c><c r="AQ47" s="34"><v></v></c><c r="AR47" s="33"><v></v></c><c r="AS47" s="32" t="str"><f t="shared" si="20"/><v/></c><c r="AT47" s="76"/><c r="AU47" s="77"/><c r="AV47" s="31"/><c r="AW47" s="30" t="str"><f t="shared" si="22"/><v/></c><c r="AX47" s="30" t="str"><f t="shared" si="22"/><v/></c><c r="AY47" s="30" t="str"><f t="shared" si="22"/><v/></c><c r="AZ47" s="30" t="str"><f t="shared" si="22"/><v/></c><c r="BA47" s="30" t="str"><f t="shared" si="22"/><v/></c><c r="BB47" s="30" t="str"><f t="shared" si="22"/><v/></c><c r="BC47" s="30" t="str"><f t="shared" si="22"/><v/></c><c r="BD47" s="29" t="e"><f t="shared" si="9"/><v>#DIV/0!</v></c><c r="BE47" s="26"/><c r="BF47" s="28" t="str"><f t="shared" si="23"/><v/></c><c r="BG47" s="28" t="str"><f t="shared" si="23"/><v/></c><c r="BH47" s="28" t="str"><f t="shared" si="23"/><v/></c><c r="BI47" s="28" t="str"><f t="shared" si="23"/><v/></c><c r="BJ47" s="28" t="str"><f t="shared" si="23"/><v/></c><c r="BK47" s="28" t="str"><f t="shared" si="23"/><v/></c><c r="BL47" s="28" t="str"><f t="shared" si="23"/><v/></c><c r="BM47" s="29" t="e"><f t="shared" si="11"/><v>#DIV/0!</v></c><c r="BN47" s="26"/><c r="BO47" s="28" t="str"><f t="shared" si="24"/><v/></c><c r="BP47" s="28" t="str"><f t="shared" si="24"/><v/></c><c r="BQ47" s="28" t="str"><f t="shared" si="24"/><v/></c><c r="BR47" s="28" t="str"><f t="shared" si="24"/><v/></c><c r="BS47" s="28" t="str"><f t="shared" si="24"/><v/></c><c r="BT47" s="28" t="str"><f t="shared" si="24"/><v/></c><c r="BU47" s="28" t="str"><f t="shared" si="24"/><v/></c><c r="BV47" s="29" t="e"><f t="shared" si="13"/><v>#DIV/0!</v></c><c r="BW47" s="26"/><c r="BX47" s="28" t="str"><f t="shared" si="25"/><v/></c><c r="BY47" s="28" t="str"><f t="shared" si="25"/><v/></c><c r="BZ47" s="28" t="str"><f t="shared" si="25"/><v/></c><c r="CA47" s="28" t="str"><f t="shared" si="25"/><v/></c><c r="CB47" s="28" t="str"><f t="shared" si="25"/><v/></c><c r="CC47" s="28" t="str"><f t="shared" si="25"/><v/></c><c r="CD47" s="28" t="str"><f t="shared" si="25"/><v/></c><c r="CE47" s="29" t="e"><f t="shared" si="15"/><v>#DIV/0!</v></c><c r="CF47" s="26"/><c r="CG47" s="28" t="e"><f t="shared" si="16"/><v>#DIV/0!</v></c><c r="CH47" s="28" t="e"><f t="shared" si="21"/><v>#DIV/0!</v></c><c r="CI47" s="28" t="e"><f t="shared" si="17"/><v>#DIV/0!</v></c><c r="CJ47" s="28" t="e"><f t="shared" si="18"/><v>#DIV/0!</v></c><c r="CK47" s="27" t="e"><f t="shared" si="19"/><v>#DIV/0!</v></c><c r="CL47" s="26"/><c r="CM47" s="26"/><c r="CN47" s="26"/><c r="CO47" s="26"/><c r="CP47" s="26"/><c r="CQ47" s="26"/><c r="CR47" s="26"/><c r="CS47" s="26"/><c r="DX47" s="20"/></row><row r="48" spans="1:128" ht="49.95" customHeight="1" thickTop="1" thickBot="1" x14ac:dyDescent="0.35"><c r="A48" s="10"><v>38</v></c><c r="B48" s="4"/><is><t>TAPULLIMA HUAICAMA, ARIANA</t></is></c><c r="L48" s="66"/><is><t>Logra realizar las actividades propuestas de manera satisfactoria.</t></is></c><c r="U48" s="66"/><is><t></t></is></c><c r="AD48" s="66"/><is><t></t></is></c><c r="AM48" s="66"/><is><t></t></is></c><c r="AP48" s="34"><v></v></c><c r="AQ48" s="34"><v></v></c><c r="AR48" s="33"><v></v></c><c r="AS48" s="32" t="str"><f t="shared" si="20"/><v/></c><c r="AT48" s="76"/><c r="AU48" s="77"/><c r="AV48" s="31"/><c r="AW48" s="30" t="str"><f t="shared" si="22"/><v/></c><c r="AX48" s="30" t="str"><f t="shared" si="22"/><v/></c><c r="AY48" s="30" t="str"><f t="shared" si="22"/><v/></c><c r="AZ48" s="30" t="str"><f t="shared" si="22"/><v/></c><c r="BA48" s="30" t="str"><f t="shared" si="22"/><v/></c><c r="BB48" s="30" t="str"><f t="shared" si="22"/><v/></c><c r="BC48" s="30" t="str"><f t="shared" si="22"/><v/></c><c r="BD48" s="29" t="e"><f t="shared" si="9"/><v>#DIV/0!</v></c><c r="BE48" s="26"/><c r="BF48" s="28" t="str"><f t="shared" si="23"/><v/></c><c r="BG48" s="28" t="str"><f t="shared" si="23"/><v/></c><c r="BH48" s="28" t="str"><f t="shared" si="23"/><v/></c><c r="BI48" s="28" t="str"><f t="shared" si="23"/><v/></c><c r="BJ48" s="28" t="str"><f t="shared" si="23"/><v/></c><c r="BK48" s="28" t="str"><f t="shared" si="23"/><v/></c><c r="BL48" s="28" t="str"><f t="shared" si="23"/><v/></c><c r="BM48" s="29" t="e"><f t="shared" si="11"/><v>#DIV/0!</v></c><c r="BN48" s="26"/><c r="BO48" s="28" t="str"><f t="shared" si="24"/><v/></c><c r="BP48" s="28" t="str"><f t="shared" si="24"/><v/></c><c r="BQ48" s="28" t="str"><f t="shared" si="24"/><v/></c><c r="BR48" s="28" t="str"><f t="shared" si="24"/><v/></c><c r="BS48" s="28" t="str"><f t="shared" si="24"/><v/></c><c r="BT48" s="28" t="str"><f t="shared" si="24"/><v/></c><c r="BU48" s="28" t="str"><f t="shared" si="24"/><v/></c><c r="BV48" s="29" t="e"><f t="shared" si="13"/><v>#DIV/0!</v></c><c r="BW48" s="26"/><c r="BX48" s="28" t="str"><f t="shared" si="25"/><v/></c><c r="BY48" s="28" t="str"><f t="shared" si="25"/><v/></c><c r="BZ48" s="28" t="str"><f t="shared" si="25"/><v/></c><c r="CA48" s="28" t="str"><f t="shared" si="25"/><v/></c><c r="CB48" s="28" t="str"><f t="shared" si="25"/><v/></c><c r="CC48" s="28" t="str"><f t="shared" si="25"/><v/></c><c r="CD48" s="28" t="str"><f t="shared" si="25"/><v/></c><c r="CE48" s="29" t="e"><f t="shared" si="15"/><v>#DIV/0!</v></c><c r="CF48" s="26"/><c r="CG48" s="28" t="e"><f t="shared" si="16"/><v>#DIV/0!</v></c><c r="CH48" s="28" t="e"><f t="shared" si="21"/><v>#DIV/0!</v></c><c r="CI48" s="28" t="e"><f t="shared" si="17"/><v>#DIV/0!</v></c><c r="CJ48" s="28" t="e"><f t="shared" si="18"/><v>#DIV/0!</v></c><c r="CK48" s="27" t="e"><f t="shared" si="19"/><v>#DIV/0!</v></c><c r="CL48" s="26"/><c r="CM48" s="26"/><c r="CN48" s="26"/><c r="CO48" s="26"/><c r="CP48" s="26"/><c r="CQ48" s="26"/><c r="CR48" s="26"/><c r="CS48" s="26"/><c r="DX48" s="20"/></row><row r="49" spans="1:128" ht="49.95" customHeight="1" thickTop="1" thickBot="1" x14ac:dyDescent="0.35"><c r="A49" s="10"><v>39</v></c><c r="B49" s="4"/><is><t>TELLO PUA, DULCE JURITH</t></is></c><c r="L49" s="66"/><is><t>Presenta dificultades para realizar las actividades propuestas.</t></is></c><c r="U49" s="66"/><is><t></t></is></c><c r="AD49" s="66"/><is><t></t></is></c><c r="AM49" s="66"/><is><t></t></is></c><c r="AP49" s="34"><v></v></c><c r="AQ49" s="34"><v></v></c><c r="AR49" s="33"><v></v></c><c r="AS49" s="32" t="str"><f t="shared" si="20"/><v/></c><c r="AT49" s="76"/><c r="AU49" s="77"/><c r="AV49" s="31"/><c r="AW49" s="30" t="str"><f t="shared" si="22"/><v/></c><c r="AX49" s="30" t="str"><f t="shared" si="22"/><v/></c><c r="AY49" s="30" t="str"><f t="shared" si="22"/><v/></c><c r="AZ49" s="30" t="str"><f t="shared" si="22"/><v/></c><c r="BA49" s="30" t="str"><f t="shared" si="22"/><v/></c><c r="BB49" s="30" t="str"><f t="shared" si="22"/><v/></c><c r="BC49" s="30" t="str"><f t="shared" si="22"/><v/></c><c r="BD49" s="29" t="e"><f t="shared" si="9"/><v>#DIV/0!</v></c><c r="BE49" s="26"/><c r="BF49" s="28" t="str"><f t="shared" si="23"/><v/></c><c r="BG49" s="28" t="str"><f t="shared" si="23"/><v/></c><c r="BH49" s="28" t="str"><f t="shared" si="23"/><v/></c><c r="BI49" s="28" t="str"><f t="shared" si="23"/><v/></c><c r="BJ49" s="28" t="str"><f t="shared" si="23"/><v/></c><c r="BK49" s="28" t="str"><f t="shared" si="23"/><v/></c><c r="BL49" s="28" t="str"><f t="shared" si="23"/><v/></c><c r="BM49" s="29" t="e"><f t="shared" si="11"/><v>#DIV/0!</v></c><c r="BN49" s="26"/><c r="BO49" s="28" t="str"><f t="shared" si="24"/><v/></c><c r="BP49" s="28" t="str"><f t="shared" si="24"/><v/></c><c r="BQ49" s="28" t="str"><f t="shared" si="24"/><v/></c><c r="BR49" s="28" t="str"><f t="shared" si="24"/><v/></c><c r="BS49" s="28" t="str"><f t="shared" si="24"/><v/></c><c r="BT49" s="28" t="str"><f t="shared" si="24"/><v/></c><c r="BU49" s="28" t="str"><f t="shared" si="24"/><v/></c><c r="BV49" s="29" t="e"><f t="shared" si="13"/><v>#DIV/0!</v></c><c r="BW49" s="26"/><c r="BX49" s="28" t="str"><f t="shared" si="25"/><v/></c><c r="BY49" s="28" t="str"><f t="shared" si="25"/><v/></c><c r="BZ49" s="28" t="str"><f t="shared" si="25"/><v/></c><c r="CA49" s="28" t="str"><f t="shared" si="25"/><v/></c><c r="CB49" s="28" t="str"><f t="shared" si="25"/><v/></c><c r="CC49" s="28" t="str"><f t="shared" si="25"/><v/></c><c r="CD49" s="28" t="str"><f t="shared" si="25"/><v/></c><c r="CE49" s="29" t="e"><f t="shared" si="15"/><v>#DIV/0!</v></c><c r="CF49" s="26"/><c r="CG49" s="28" t="e"><f t="shared" si="16"/><v>#DIV/0!</v></c><c r="CH49" s="28" t="e"><f t="shared" si="21"/><v>#DIV/0!</v></c><c r="CI49" s="28" t="e"><f t="shared" si="17"/><v>#DIV/0!</v></c><c r="CJ49" s="28" t="e"><f t="shared" si="18"/><v>#DIV/0!</v></c><c r="CK49" s="27" t="e"><f t="shared" si="19"/><v>#DIV/0!</v></c><c r="CL49" s="26"/><c r="CM49" s="26"/><c r="CN49" s="26"/><c r="CO49" s="26"/><c r="CP49" s="26"/><c r="CQ49" s="26"/><c r="CR49" s="26"/><c r="CS49" s="26"/><c r="DX49" s="20"/></row><row r="50" spans="1:128" ht="49.95" customHeight="1" thickTop="1" thickBot="1" x14ac:dyDescent="0.35"><c r="A50" s="14"><v>40</v></c><c r="B50" s="5"/><is><t>TORRES CANAQUIRI PIER PAOLO</t></is></c><c r="L50" s="69"/><is><t>No logra realizar las actividades propuestas.</t></is></c><c r="U50" s="69"/><is><t></t></is></c><c r="AD50" s="69"/><is><t></t></is></c><c r="AM50" s="69"/><is><t></t></is></c><c r="AP50" s="34"><v></v></c><c r="AQ50" s="34"><v></v></c><c r="AR50" s="33"><v></v></c><c r="AS50" s="32" t="str"><f t="shared" si="20"/><v/></c><c r="AT50" s="76"/><c r="AU50" s="77"/><c r="AV50" s="31"/><c r="AW50" s="30" t="str"><f t="shared" si="22"/><v/></c><c r="AX50" s="30" t="str"><f t="shared" si="22"/><v/></c><c r="AY50" s="30" t="str"><f t="shared" si="22"/><v/></c><c r="AZ50" s="30" t="str"><f t="shared" si="22"/><v/></c><c r="BA50" s="30" t="str"><f t="shared" si="22"/><v/></c><c r="BB50" s="30" t="str"><f t="shared" si="22"/><v/></c><c r="BC50" s="30" t="str"><f t="shared" si="22"/><v/></c><c r="BD50" s="29" t="e"><f t="shared" si="9"/><v>#DIV/0!</v></c><c r="BE50" s="26"/><c r="BF50" s="28" t="str"><f t="shared" si="23"/><v/></c><c r="BG50" s="28" t="str"><f t="shared" si="23"/><v/></c><c r="BH50" s="28" t="str"><f t="shared" si="23"/><v/></c><c r="BI50" s="28" t="str"><f t="shared" si="23"/><v/></c><c r="BJ50" s="28" t="str"><f t="shared" si="23"/><v/></c><c r="BK50" s="28" t="str"><f t="shared" si="23"/><v/></c><c r="BL50" s="28" t="str"><f t="shared" si="23"/><v/></c><c r="BM50" s="29" t="e"><f t="shared" si="11"/><v>#DIV/0!</v></c><c r="BN50" s="26"/><c r="BO50" s="28" t="str"><f t="shared" si="24"/><v/></c><c r="BP50" s="28" t="str"><f t="shared" si="24"/><v/></c><c r="BQ50" s="28" t="str"><f t="shared" si="24"/><v/></c><c r="BR50" s="28" t="str"><f t="shared" si="24"/><v/></c><c r="BS50" s="28" t="str"><f t="shared" si="24"/><v/></c><c r="BT50" s="28" t="str"><f t="shared" si="24"/><v/></c><c r="BU50" s="28" t="str"><f t="shared" si="24"/><v/></c><c r="BV50" s="29" t="e"><f t="shared" si="13"/><v>#DIV/0!</v></c><c r="BW50" s="26"/><c r="BX50" s="28" t="str"><f t="shared" si="25"/><v/></c><c r="BY50" s="28" t="str"><f t="shared" si="25"/><v/></c><c r="BZ50" s="28" t="str"><f t="shared" si="25"/><v/></c><c r="CA50" s="28" t="str"><f t="shared" si="25"/><v/></c><c r="CB50" s="28" t="str"><f t="shared" si="25"/><v/></c><c r="CC50" s="28" t="str"><f t="shared" si="25"/><v/></c><c r="CD50" s="28" t="str"><f t="shared" si="25"/><v/></c><c r="CE50" s="29" t="e"><f t="shared" si="15"/><v>#DIV/0!</v></c><c r="CF50" s="26"/><c r="CG50" s="28" t="e"><f t="shared" si="16"/><v>#DIV/0!</v></c><c r="CH50" s="28" t="e"><f t="shared" si="21"/><v>#DIV/0!</v></c><c r="CI50" s="28" t="e"><f t="shared" si="17"/><v>#DIV/0!</v></c><c r="CJ50" s="28" t="e"><f t="shared" si="18"/><v>#DIV/0!</v></c><c r="CK50" s="27" t="e"><f t="shared" si="19"/><v>#DIV/0!</v></c><c r="CL50" s="26"/><c r="CM50" s="26"/><c r="CN50" s="26"/><c r="CO50" s="26"/><c r="CP50" s="26"/><c r="CQ50" s="26"/><c r="CR50" s="26"/><c r="CS50" s="26"/><c r="DX50" s="20"/></row><row r="51" spans="1:128" ht="21.6" customHeight="1" x14ac:dyDescent="0.3"><c r="A51" s="24"/><v>41</v></c><c r="DW88" s="78" t="s"><v>50</v></c><c r="DX88" s="78"/><c r="DY88" s="78"/><c r="DZ88" s="78"/></row><row r="89" spans="49:130" ht="28.8" x14ac:dyDescent="0.3"><c r="DV89" s="55" t="s"><v>41</v></c><c r="DW89" s="56" t="s"><v>40</v></c><c r="DX89" s="56" t="s"><v>39</v></c><c r="DY89" s="57" t="s"><v>52</v></c><c r="DZ89" s="57" t="s"><v>52</v></c></row><row r="90" spans="49:130" ht="43.2" x14ac:dyDescent="0.3"><c r="DV90" s="55" t="s"><v>30</v></c><c r="DW90" s="56" t="s"><v>59</v></c><c r="DX90" s="56" t="s"><v>29</v></c><c r="DY90" s="56" t="s"><v>28</v></c><c r="DZ90" s="57" t="s"><v>52</v></c></row><row r="91" spans="49:130" ht="28.8" x14ac:dyDescent="0.3"><c r="DV91" s="55" t="s"><v>24</v></c><c r="DW91" s="56" t="s"><v>21</v></c><c r="DX91" s="56" t="s"><v>22</v></c><c r="DY91" s="57" t="s"><v>52</v></c><c r="DZ91" s="57" t="s"><v>52</v></c></row><row r="92" spans="49:130" ht="23.4" x14ac:dyDescent="0.3"><c r="DV92" s="55" t="s"><v>32</v></c><c r="DW92" s="56" t="s"><v>57</v></c><c r="DX92" s="56" t="s"><v>58</v></c><c r="DY92" s="56" t="s"><v>31</v></c><c r="DZ92" s="57" t="s"><v>52</v></c></row><row r="93" spans="49:130" ht="28.8" x14ac:dyDescent="0.3"><c r="DV93" s="55" t="s"><v>51</v></c><c r="DW93" s="56" t="s"><v>18</v></c><c r="DX93" s="56" t="s"><v>19</v></c><c r="DY93" s="56" t="s"><v>20</v></c><c r="DZ93" s="57" t="s"><v>52</v></c></row><row r="94" spans="49:130" ht="28.8" x14ac:dyDescent="0.3"><c r="DV94" s="55" t="s"><v>45</v></c><c r="DW94" s="56" t="s"><v>43</v></c><c r="DX94" s="56" t="s"><v>42</v></c><c r="DY94" s="56" t="s"><v>62</v></c><c r="DZ94" s="57" t="s"><v>52</v></c></row><row r="95" spans="49:130" ht="28.8" x14ac:dyDescent="0.3"><c r="DV95" s="55" t="s"><v>48</v></c><c r="DW95" s="56" t="s"><v>47</v></c><c r="DX95" s="57" t="s"><v>52</v></c><c r="DY95" s="57" t="s"><v>52</v></c><c r="DZ95" s="57" t="s"><v>52</v></c></row><row r="96" spans="49:130" ht="57.6" x14ac:dyDescent="0.3"><c r="DV96" s="55" t="s"><v>35</v></c><c r="DW96" s="56" t="s"><v>34</v></c><c r="DX96" s="56" t="s"><v>33</v></c><c r="DY96" s="57" t="s"><v>52</v></c><c r="DZ96" s="57" t="s"><v>52</v></c></row><row r="97" spans="126:130" ht="28.8" x14ac:dyDescent="0.3"><c r="DV97" s="55" t="s"><v>38</v></c><c r="DW97" s="56" t="s"><v>36</v></c><c r="DX97" s="56" t="s"><v>60</v></c><c r="DY97" s="56" t="s"><v>61</v></c><c r="DZ97" s="57" t="s"><v>52</v></c></row><row r="98" spans="126:130" ht="28.8" x14ac:dyDescent="0.3"><c r="DV98" s="55" t="s"><v>27</v></c><c r="DW98" s="56" t="s"><v>53</v></c><c r="DX98" s="56" t="s"><v>54</v></c><c r="DY98" s="56" t="s"><v>55</v></c><c r="DZ98" s="56" t="s"><v>56</v></c></row><row r="99" spans="126:130" ht="36" x14ac:dyDescent="0.3"><c r="DV99" s="55" t="s"><v>72</v></c><c r="DW99" s="58" t="s"><v>63</v></c><c r="DX99" s="58" t="s"><v>64</v></c><c r="DY99" s="57" t="s"><v>52</v></c><c r="DZ99" s="57" t="s"><v>52</v></c></row><row r="101" spans="126:130" x14ac:dyDescent="0.3"><c r="DV101" s="3" t="s"><v>17</v></c></row><row r="102" spans="126:130" x14ac:dyDescent="0.3"><c r="DV102" s="3" t="s"><v>26</v></c></row><row r="103" spans="126:130" x14ac:dyDescent="0.3"><c r="DV103" s="3" t="s"><v>37</v></c></row><row r="104" spans="126:130" x14ac:dyDescent="0.3"><c r="DV104" s="3" t="s"><v>44</v></c></row><row r="105" spans="126:130" x14ac:dyDescent="0.3"><c r="DV105" s="3" t="s"><v>46</v></c></row><row r="107" spans="126:130" x14ac:dyDescent="0.3"><c r="DV107" s="3" t="s"><v>6</v></c></row><row r="108" spans="126:130" x14ac:dyDescent="0.3"><c r="DV108" s="3" t="s"><v>10</v></c></row><row r="109" spans="126:130" x14ac:dyDescent="0.3"><c r="DV109" s="3" t="s"><v>11</v></c></row><row r="110" spans="126:130" x14ac:dyDescent="0.3"><c r="DV110" s="3" t="s"><v>65</v></c></row><row r="111" spans="126:130" x14ac:dyDescent="0.3"><c r="DV111" s="3" t="s"><v>25</v></c></row>
<row r="52" spans="1:128" ht="49.95" customHeight="1" thickTop="1" thickBot="1" x14ac:dyDescent="0.35"><c r="A52" s="6"><v>42</v></c><c r="B52" s="72"><is><t>TUANAMA SABOYA, JAIRO LUBER</t></is></c><c r="C52" s="35"/><c r="D52" s="7"><is><t>C</t></is></c><c r="E52" s="8"><is><t>C</t></is></c><c r="F52" s="8"><is><t></t></is></c><c r="G52" s="8"><is><t></t></is></c><c r="H52" s="8"/><c r="I52" s="8"/><c r="J52" s="9"/><c r="K52" s="60"><v>C</v></c><c r="L52" s="67"><is><t>No logra realizar las actividades propuestas.</t></is></c><c r="M52" s="7"/><is><t></t></is></c><c r="AP52" s="34"><v></v></c><c r="AQ52" s="34"><v></v></c><c r="AR52" s="33"><v></v></c></row>
<row r="53" spans="1:128" ht="49.95" customHeight="1" thickTop="1" thickBot="1" x14ac:dyDescent="0.35"><c r="A53" s="6"><v>43</v></c><c r="B53" s="72"><is><t>VILCA RAMÍREZ ARACELY</t></is></c><c r="C53" s="35"/><c r="D53" s="7"><is><t>C</t></is></c><c r="E53" s="8"><is><t></t></is></c><c r="F53" s="8"><is><t></t></is></c><c r="G53" s="8"><is><t></t></is></c><c r="H53" s="8"/><c r="I53" s="8"/><c r="J53" s="9"/><c r="K53" s="60"><v>C</v></c><c r="L53" s="67"><is><t>No logra realizar las actividades propuestas.</t></is></c><c r="M53" s="7"/><is><t></t></is></c><c r="AP53" s="34"><v></v></c><c r="AQ53" s="34"><v></v></c><c r="AR53" s="33"><v></v></c></row>
<row r="54" spans="1:128" ht="49.95" customHeight="1" thickTop="1" thickBot="1" x14ac:dyDescent="0.35"><c r="A54" s="6"><v>44</v></c><c r="B54" s="72"><is><t>YUMABTO LÓPEZ ANDERSON ALDER</t></is></c><c r="C54" s="35"/><c r="D54" s="7"><is><t>B</t></is></c><c r="E54" s="8"><is><t></t></is></c><c r="F54" s="8"><is><t></t></is></c><c r="G54" s="8"><is><t></t></is></c><c r="H54" s="8"/><c r="I54" s="8"/><c r="J54" s="9"/><c r="K54" s="60"><v>B</v></c><c r="L54" s="67"><is><t>Presenta dificultades para realizar las actividades propuestas.</t></is></c><c r="M54" s="7"/><is><t></t></is></c><c r="AP54" s="34"><v></v></c><c r="AQ54" s="34"><v></v></c><c r="AR54" s="33"><v></v></c></row>
<row r="55" spans="1:128" ht="49.95" customHeight="1" thickTop="1" thickBot="1" x14ac:dyDescent="0.35"><c r="A55" s="6"><v>45</v></c><c r="B55" s="72"><is><t>YUMBATO LÓPEZ LUCY CRISTINA</t></is></c><c r="C55" s="35"/><c r="D55" s="7"><is><t>C</t></is></c><c r="E55" s="8"><is><t></t></is></c><c r="F55" s="8"><is><t></t></is></c><c r="G55" s="8"><is><t></t></is></c><c r="H55" s="8"/><c r="I55" s="8"/><c r="J55" s="9"/><c r="K55" s="60"><v>C</v></c><c r="L55" s="67"><is><t>No logra realizar las actividades propuestas.</t></is></c><c r="M55" s="7"/><is><t></t></is></c><c r="AP55" s="34"><v></v></c><c r="AQ55" s="34"><v></v></c><c r="AR55" s="33"><v></v></c></row>
<row r="56" spans="1:128" ht="49.95" customHeight="1" thickTop="1" thickBot="1" x14ac:dyDescent="0.35"><c r="A56" s="6"><v>46</v></c><c r="B56" s="72"><is><t>ZURITA CARITIMARI, JHOSEPH EZEQUIEL</t></is></c><c r="C56" s="35"/><c r="D56" s="7"><is><t>C</t></is></c><c r="E56" s="8"><is><t></t></is></c><c r="F56" s="8"><is><t></t></is></c><c r="G56" s="8"><is><t></t></is></c><c r="H56" s="8"/><c r="I56" s="8"/><c r="J56" s="9"/><c r="K56" s="60"><v>C</v></c><c r="L56" s="67"><is><t>No logra realizar las actividades propuestas.</t></is></c><c r="M56" s="7"/><is><t></t></is></c><c r="AP56" s="34"><v></v></c><c r="AQ56" s="34"><v></v></c><c r="AR56" s="33"><v></v></c></row>
</sheetData><mergeCells count="97"><mergeCell ref="AT47:AU47"/><mergeCell ref="AT48:AU48"/><mergeCell ref="AT49:AU49"/><mergeCell ref="AT50:AU50"/><mergeCell ref="DW88:DZ88"/><mergeCell ref="AT46:AU46"/><mergeCell ref="AT35:AU35"/><mergeCell ref="AT36:AU36"/><mergeCell ref="AT37:AU37"/><mergeCell ref="AT38:AU38"/><mergeCell ref="AT39:AU39"/><mergeCell ref="AT40:AU40"/><mergeCell ref="AT41:AU41"/><mergeCell ref="AT42:AU42"/><mergeCell ref="AT43:AU43"/><mergeCell ref="AT44:AU44"/><mergeCell ref="AT45:AU45"/><mergeCell ref="AT21:AU21"/><mergeCell ref="AT34:AU34"/><mergeCell ref="AT23:AU23"/><mergeCell ref="AT24:AU24"/><mergeCell ref="AT25:AU25"/><mergeCell ref="AT26:AU26"/><mergeCell ref="AT27:AU27"/><mergeCell ref="AT28:AU28"/><mergeCell ref="AT29:AU29"/><mergeCell ref="AT30:AU30"/><mergeCell ref="AT31:AU31"/><mergeCell ref="AT32:AU32"/><mergeCell ref="AT33:AU33"/><mergeCell ref="DB11:DC11"/><mergeCell ref="AT22:AU22"/><mergeCell ref="DB13:DC13"/><mergeCell ref="DD13:DF13"/><mergeCell ref="DG13:DJ13"/><mergeCell ref="AT14:AU14"/><mergeCell ref="AT15:AU15"/><mergeCell ref="AT16:AU16"/><mergeCell ref="AT13:AU13"/><mergeCell ref="CV13:CW13"/><mergeCell ref="CX13:CY13"/><mergeCell ref="CZ13:DA13"/><mergeCell ref="AT17:AU17"/><mergeCell ref="AT18:AU18"/><mergeCell ref="AT19:AU19"/><mergeCell ref="AT20:AU20"/><mergeCell ref="AS9:AS10"/><mergeCell ref="DD11:DF11"/><mergeCell ref="DG11:DJ11"/><mergeCell ref="AT12:AU12"/><mergeCell ref="CU12:CU13"/><mergeCell ref="CV12:CW12"/><mergeCell ref="CX12:CY12"/><mergeCell ref="CZ12:DA12"/><mergeCell ref="DB12:DC12"/><mergeCell ref="DD12:DF12"/><mergeCell ref="DG12:DJ12"/><mergeCell ref="AT11:AU11"/><mergeCell ref="CO11:CT13"/><mergeCell ref="CV11:CW11"/><mergeCell ref="CX11:CY11"/><mergeCell ref="CZ11:DA11"/><mergeCell ref="AM9:AM10"/><mergeCell ref="AO9:AO10"/><mergeCell ref="AP9:AP10"/><mergeCell ref="AQ9:AQ10"/><mergeCell ref="AR9:AR10"/><mergeCell ref="A1:B5"/><mergeCell ref="D1:AS1"/><mergeCell ref="D3:K3"/><mergeCell ref="M3:W3"/><mergeCell ref="Y3:AG3"/><mergeCell ref="AH3:AS3"/><mergeCell ref="D4:K4"/><mergeCell ref="M4:W4"/><mergeCell ref="Y4:AG4"/><mergeCell ref="AH4:AS4"/><mergeCell ref="D5:K5"/><mergeCell ref="M5:W5"/><mergeCell ref="Y5:AG5"/><mergeCell ref="AH5:AS5"/><mergeCell ref="A7:A10"/><mergeCell ref="B7:B10"/><mergeCell ref="D7:AM7"/><mergeCell ref="AO7:AU8"/><mergeCell ref="D8:L8"/><mergeCell ref="M8:U8"/><mergeCell ref="AT9:AU10"/><mergeCell ref="V8:AD8"/><mergeCell ref="AE8:AM8"/><mergeCell ref="D9:K9"/><mergeCell ref="L9:L10"/><mergeCell ref="M9:T9"/><mergeCell ref="U9:U10"/><mergeCell ref="V9:AC9"/><mergeCell ref="AD9:AD10"/><mergeCell ref="AE9:AL9"/></mergeCells><conditionalFormatting sqref="A11:A50"><cfRule type="cellIs" dxfId="8" priority="1" operator="between"><formula>1</formula><formula>40</formula></cfRule></conditionalFormatting><conditionalFormatting sqref="M51:S51"><cfRule type="cellIs" dxfId="7" priority="8" operator="lessThan"><formula>11</formula></cfRule><cfRule type="cellIs" dxfId="6" priority="9" operator="greaterThan"><formula>10</formula></cfRule></conditionalFormatting><conditionalFormatting sqref="V51:AD51"><cfRule type="cellIs" dxfId="5" priority="6" operator="lessThan"><formula>11</formula></cfRule><cfRule type="cellIs" dxfId="4" priority="7" operator="greaterThan"><formula>10</formula></cfRule></conditionalFormatting><conditionalFormatting sqref="AO11:AT50"><cfRule type="containsText" dxfId="3" priority="2" operator="containsText" text="C"><formula>NOT(ISERROR(SEARCH("C",AO11)))</formula></cfRule><cfRule type="containsText" dxfId="2" priority="3" operator="containsText" text="B"><formula>NOT(ISERROR(SEARCH("B",AO11)))</formula></cfRule><cfRule type="endsWith" dxfId="1" priority="4" operator="endsWith" text="A"><formula>RIGHT(AO11,LEN("A"))="A"</formula></cfRule><cfRule type="endsWith" dxfId="0" priority="5" operator="endsWith" text="D"><formula>RIGHT(AO11,LEN("D"))="D"</formula></cfRule></conditionalFormatting><dataValidations count="4"><dataValidation type="textLength" allowBlank="1" showInputMessage="1" showErrorMessage="1" sqref="D11:J50 AE11:AK50 M11:S50 V11:AB50" xr:uid="{CAF73DB6-99AE-4459-A823-4A42EFAE5653}"><formula1>1</formula1><formula2>2</formula2></dataValidation><dataValidation type="list" allowBlank="1" showInputMessage="1" showErrorMessage="1" sqref="AH5:AS5" xr:uid="{4A43F192-44E0-48A8-B97D-9C982BB58176}"><formula1>$DV$107:$DV$111</formula1></dataValidation><dataValidation type="list" allowBlank="1" showInputMessage="1" showErrorMessage="1" sqref="AH4:AS4" xr:uid="{EF1CB724-6D63-4D35-960E-3B55E02EA60D}"><formula1>$DV$101:$DV$105</formula1></dataValidation><dataValidation type="list" allowBlank="1" showInputMessage="1" showErrorMessage="1" sqref="M4:W4" xr:uid="{F6E79BA2-B18F-4E8D-ADEB-1A873A610837}"><formula1>$DV$89:$DV$99</formula1></dataValidation></dataValidations><printOptions horizontalCentered="1" verticalCentered="1"/><pageMargins left="0" right="0" top="0" bottom="0" header="0.31496062992125984" footer="0.31496062992125984"/><pageSetup paperSize="9" scale="21" orientation="landscape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3°A</vt:lpstr>
      <vt:lpstr>'3°A'!Área_de_impresión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Muños</dc:creator>
  <cp:lastModifiedBy>julio cesar martel vasquez</cp:lastModifiedBy>
  <cp:lastPrinted>2025-06-16T17:24:02Z</cp:lastPrinted>
  <dcterms:created xsi:type="dcterms:W3CDTF">2017-09-26T02:35:34Z</dcterms:created>
  <dcterms:modified xsi:type="dcterms:W3CDTF">2026-08-26T17:49:17Z</dcterms:modified>
</cp:coreProperties>
</file>