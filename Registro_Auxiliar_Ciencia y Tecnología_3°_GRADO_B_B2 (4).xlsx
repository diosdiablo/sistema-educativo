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1a6a774f111aa3d/Escritorio/"/>
    </mc:Choice>
  </mc:AlternateContent>
  <xr:revisionPtr revIDLastSave="8" documentId="8_{F5CE1B91-424C-46E1-93B1-7F9DADA185D1}" xr6:coauthVersionLast="47" xr6:coauthVersionMax="47" xr10:uidLastSave="{5DD2A2AC-E497-40E1-8D45-28AFE35AEBF7}"/>
  <bookViews>
    <workbookView xWindow="1416" yWindow="1044" windowWidth="21600" windowHeight="11100" xr2:uid="{00000000-000D-0000-FFFF-FFFF00000000}"/>
  </bookViews>
  <sheets>
    <sheet name="3°A" sheetId="77" r:id="rId1"/>
  </sheets>
  <definedNames>
    <definedName name="_xlnm.Print_Area" localSheetId="0">'3°A'!$A$1:$AU$50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50" i="77" l="1"/>
  <c r="CC50" i="77"/>
  <c r="CB50" i="77"/>
  <c r="CA50" i="77"/>
  <c r="BZ50" i="77"/>
  <c r="BY50" i="77"/>
  <c r="BX50" i="77"/>
  <c r="CE50" i="77" s="1"/>
  <c r="BU50" i="77"/>
  <c r="BT50" i="77"/>
  <c r="BS50" i="77"/>
  <c r="BR50" i="77"/>
  <c r="BQ50" i="77"/>
  <c r="BP50" i="77"/>
  <c r="BV50" i="77" s="1"/>
  <c r="CI50" i="77" s="1"/>
  <c r="BO50" i="77"/>
  <c r="BL50" i="77"/>
  <c r="BK50" i="77"/>
  <c r="BJ50" i="77"/>
  <c r="BI50" i="77"/>
  <c r="BH50" i="77"/>
  <c r="BG50" i="77"/>
  <c r="BF50" i="77"/>
  <c r="BC50" i="77"/>
  <c r="BB50" i="77"/>
  <c r="BA50" i="77"/>
  <c r="AZ50" i="77"/>
  <c r="AY50" i="77"/>
  <c r="AX50" i="77"/>
  <c r="AW50" i="77"/>
  <c r="AC50" i="77"/>
  <c r="AQ50" i="77" s="1"/>
  <c r="CD49" i="77"/>
  <c r="CC49" i="77"/>
  <c r="CB49" i="77"/>
  <c r="CA49" i="77"/>
  <c r="CE49" i="77" s="1"/>
  <c r="BZ49" i="77"/>
  <c r="BY49" i="77"/>
  <c r="BX49" i="77"/>
  <c r="BU49" i="77"/>
  <c r="BT49" i="77"/>
  <c r="BS49" i="77"/>
  <c r="BR49" i="77"/>
  <c r="BV49" i="77" s="1"/>
  <c r="BQ49" i="77"/>
  <c r="BP49" i="77"/>
  <c r="BO49" i="77"/>
  <c r="BL49" i="77"/>
  <c r="BK49" i="77"/>
  <c r="BJ49" i="77"/>
  <c r="BI49" i="77"/>
  <c r="BH49" i="77"/>
  <c r="BG49" i="77"/>
  <c r="BF49" i="77"/>
  <c r="BC49" i="77"/>
  <c r="BB49" i="77"/>
  <c r="BA49" i="77"/>
  <c r="AZ49" i="77"/>
  <c r="AY49" i="77"/>
  <c r="AX49" i="77"/>
  <c r="AW49" i="77"/>
  <c r="CD48" i="77"/>
  <c r="CC48" i="77"/>
  <c r="CB48" i="77"/>
  <c r="CA48" i="77"/>
  <c r="BZ48" i="77"/>
  <c r="BY48" i="77"/>
  <c r="BX48" i="77"/>
  <c r="BU48" i="77"/>
  <c r="BT48" i="77"/>
  <c r="BS48" i="77"/>
  <c r="BR48" i="77"/>
  <c r="BQ48" i="77"/>
  <c r="BP48" i="77"/>
  <c r="BO48" i="77"/>
  <c r="BL48" i="77"/>
  <c r="BK48" i="77"/>
  <c r="BJ48" i="77"/>
  <c r="BI48" i="77"/>
  <c r="BH48" i="77"/>
  <c r="BG48" i="77"/>
  <c r="BF48" i="77"/>
  <c r="BC48" i="77"/>
  <c r="BB48" i="77"/>
  <c r="BA48" i="77"/>
  <c r="AZ48" i="77"/>
  <c r="AY48" i="77"/>
  <c r="AX48" i="77"/>
  <c r="AW48" i="77"/>
  <c r="BD48" i="77" s="1"/>
  <c r="CI47" i="77"/>
  <c r="CH47" i="77"/>
  <c r="CD47" i="77"/>
  <c r="CC47" i="77"/>
  <c r="CB47" i="77"/>
  <c r="CA47" i="77"/>
  <c r="BZ47" i="77"/>
  <c r="BY47" i="77"/>
  <c r="BX47" i="77"/>
  <c r="CE47" i="77" s="1"/>
  <c r="AL47" i="77" s="1"/>
  <c r="AR47" i="77" s="1"/>
  <c r="BU47" i="77"/>
  <c r="BT47" i="77"/>
  <c r="BS47" i="77"/>
  <c r="BR47" i="77"/>
  <c r="BQ47" i="77"/>
  <c r="BP47" i="77"/>
  <c r="BO47" i="77"/>
  <c r="BV47" i="77" s="1"/>
  <c r="AC47" i="77" s="1"/>
  <c r="AQ47" i="77" s="1"/>
  <c r="BL47" i="77"/>
  <c r="BK47" i="77"/>
  <c r="BJ47" i="77"/>
  <c r="BI47" i="77"/>
  <c r="BH47" i="77"/>
  <c r="BG47" i="77"/>
  <c r="BF47" i="77"/>
  <c r="BM47" i="77" s="1"/>
  <c r="BC47" i="77"/>
  <c r="BB47" i="77"/>
  <c r="BA47" i="77"/>
  <c r="AZ47" i="77"/>
  <c r="AY47" i="77"/>
  <c r="AX47" i="77"/>
  <c r="AW47" i="77"/>
  <c r="BD47" i="77" s="1"/>
  <c r="CG47" i="77" s="1"/>
  <c r="CK47" i="77" s="1"/>
  <c r="AS47" i="77" s="1"/>
  <c r="T47" i="77"/>
  <c r="AP47" i="77" s="1"/>
  <c r="K47" i="77"/>
  <c r="AO47" i="77" s="1"/>
  <c r="CH46" i="77"/>
  <c r="CD46" i="77"/>
  <c r="CC46" i="77"/>
  <c r="CB46" i="77"/>
  <c r="CA46" i="77"/>
  <c r="BZ46" i="77"/>
  <c r="BY46" i="77"/>
  <c r="BX46" i="77"/>
  <c r="CE46" i="77" s="1"/>
  <c r="BU46" i="77"/>
  <c r="BT46" i="77"/>
  <c r="BS46" i="77"/>
  <c r="BR46" i="77"/>
  <c r="BQ46" i="77"/>
  <c r="BP46" i="77"/>
  <c r="BO46" i="77"/>
  <c r="BV46" i="77" s="1"/>
  <c r="CI46" i="77" s="1"/>
  <c r="BL46" i="77"/>
  <c r="BK46" i="77"/>
  <c r="BJ46" i="77"/>
  <c r="BI46" i="77"/>
  <c r="BH46" i="77"/>
  <c r="BG46" i="77"/>
  <c r="BF46" i="77"/>
  <c r="BM46" i="77" s="1"/>
  <c r="BC46" i="77"/>
  <c r="BB46" i="77"/>
  <c r="BA46" i="77"/>
  <c r="AZ46" i="77"/>
  <c r="AY46" i="77"/>
  <c r="AX46" i="77"/>
  <c r="AW46" i="77"/>
  <c r="BD46" i="77" s="1"/>
  <c r="CG46" i="77" s="1"/>
  <c r="CK46" i="77" s="1"/>
  <c r="AS46" i="77" s="1"/>
  <c r="T46" i="77"/>
  <c r="AP46" i="77" s="1"/>
  <c r="K46" i="77"/>
  <c r="AO46" i="77" s="1"/>
  <c r="CD45" i="77"/>
  <c r="CC45" i="77"/>
  <c r="CB45" i="77"/>
  <c r="CA45" i="77"/>
  <c r="CE45" i="77" s="1"/>
  <c r="BZ45" i="77"/>
  <c r="BY45" i="77"/>
  <c r="BX45" i="77"/>
  <c r="BU45" i="77"/>
  <c r="BT45" i="77"/>
  <c r="BS45" i="77"/>
  <c r="BR45" i="77"/>
  <c r="BV45" i="77" s="1"/>
  <c r="BQ45" i="77"/>
  <c r="BP45" i="77"/>
  <c r="BO45" i="77"/>
  <c r="BL45" i="77"/>
  <c r="BK45" i="77"/>
  <c r="BJ45" i="77"/>
  <c r="BI45" i="77"/>
  <c r="BM45" i="77" s="1"/>
  <c r="BH45" i="77"/>
  <c r="BG45" i="77"/>
  <c r="BF45" i="77"/>
  <c r="BC45" i="77"/>
  <c r="BB45" i="77"/>
  <c r="BA45" i="77"/>
  <c r="AZ45" i="77"/>
  <c r="AY45" i="77"/>
  <c r="AX45" i="77"/>
  <c r="AW45" i="77"/>
  <c r="CD44" i="77"/>
  <c r="CC44" i="77"/>
  <c r="CB44" i="77"/>
  <c r="CA44" i="77"/>
  <c r="BZ44" i="77"/>
  <c r="BY44" i="77"/>
  <c r="BX44" i="77"/>
  <c r="BU44" i="77"/>
  <c r="BT44" i="77"/>
  <c r="BS44" i="77"/>
  <c r="BR44" i="77"/>
  <c r="BQ44" i="77"/>
  <c r="BP44" i="77"/>
  <c r="BO44" i="77"/>
  <c r="BL44" i="77"/>
  <c r="BK44" i="77"/>
  <c r="BJ44" i="77"/>
  <c r="BI44" i="77"/>
  <c r="BH44" i="77"/>
  <c r="BG44" i="77"/>
  <c r="BF44" i="77"/>
  <c r="BM44" i="77" s="1"/>
  <c r="BC44" i="77"/>
  <c r="BB44" i="77"/>
  <c r="BA44" i="77"/>
  <c r="AZ44" i="77"/>
  <c r="AY44" i="77"/>
  <c r="AX44" i="77"/>
  <c r="AW44" i="77"/>
  <c r="BD44" i="77" s="1"/>
  <c r="CH43" i="77"/>
  <c r="CD43" i="77"/>
  <c r="CC43" i="77"/>
  <c r="CB43" i="77"/>
  <c r="CA43" i="77"/>
  <c r="BZ43" i="77"/>
  <c r="BY43" i="77"/>
  <c r="BX43" i="77"/>
  <c r="CE43" i="77" s="1"/>
  <c r="AL43" i="77" s="1"/>
  <c r="AR43" i="77" s="1"/>
  <c r="BU43" i="77"/>
  <c r="BT43" i="77"/>
  <c r="BS43" i="77"/>
  <c r="BR43" i="77"/>
  <c r="BQ43" i="77"/>
  <c r="BP43" i="77"/>
  <c r="BO43" i="77"/>
  <c r="BV43" i="77" s="1"/>
  <c r="AC43" i="77" s="1"/>
  <c r="AQ43" i="77" s="1"/>
  <c r="BL43" i="77"/>
  <c r="BK43" i="77"/>
  <c r="BJ43" i="77"/>
  <c r="BI43" i="77"/>
  <c r="BH43" i="77"/>
  <c r="BG43" i="77"/>
  <c r="BF43" i="77"/>
  <c r="BM43" i="77" s="1"/>
  <c r="T43" i="77" s="1"/>
  <c r="AP43" i="77" s="1"/>
  <c r="BC43" i="77"/>
  <c r="BB43" i="77"/>
  <c r="BA43" i="77"/>
  <c r="AZ43" i="77"/>
  <c r="AY43" i="77"/>
  <c r="AX43" i="77"/>
  <c r="AW43" i="77"/>
  <c r="BD43" i="77" s="1"/>
  <c r="CG43" i="77" s="1"/>
  <c r="CK43" i="77" s="1"/>
  <c r="AS43" i="77" s="1"/>
  <c r="K43" i="77"/>
  <c r="AO43" i="77" s="1"/>
  <c r="CH42" i="77"/>
  <c r="CD42" i="77"/>
  <c r="CC42" i="77"/>
  <c r="CB42" i="77"/>
  <c r="CA42" i="77"/>
  <c r="BZ42" i="77"/>
  <c r="BY42" i="77"/>
  <c r="BX42" i="77"/>
  <c r="CE42" i="77" s="1"/>
  <c r="BU42" i="77"/>
  <c r="BT42" i="77"/>
  <c r="BS42" i="77"/>
  <c r="BR42" i="77"/>
  <c r="BQ42" i="77"/>
  <c r="BP42" i="77"/>
  <c r="BO42" i="77"/>
  <c r="BV42" i="77" s="1"/>
  <c r="BL42" i="77"/>
  <c r="BK42" i="77"/>
  <c r="BJ42" i="77"/>
  <c r="BI42" i="77"/>
  <c r="BH42" i="77"/>
  <c r="BG42" i="77"/>
  <c r="BF42" i="77"/>
  <c r="BM42" i="77" s="1"/>
  <c r="T42" i="77" s="1"/>
  <c r="AP42" i="77" s="1"/>
  <c r="BC42" i="77"/>
  <c r="BB42" i="77"/>
  <c r="BA42" i="77"/>
  <c r="AZ42" i="77"/>
  <c r="AY42" i="77"/>
  <c r="AX42" i="77"/>
  <c r="AW42" i="77"/>
  <c r="BD42" i="77" s="1"/>
  <c r="CG42" i="77" s="1"/>
  <c r="CK42" i="77" s="1"/>
  <c r="AS42" i="77" s="1"/>
  <c r="K42" i="77"/>
  <c r="AO42" i="77" s="1"/>
  <c r="CK41" i="77"/>
  <c r="AS41" i="77" s="1"/>
  <c r="CD41" i="77"/>
  <c r="CC41" i="77"/>
  <c r="CB41" i="77"/>
  <c r="CA41" i="77"/>
  <c r="CE41" i="77" s="1"/>
  <c r="AL41" i="77" s="1"/>
  <c r="AR41" i="77" s="1"/>
  <c r="BZ41" i="77"/>
  <c r="BY41" i="77"/>
  <c r="BX41" i="77"/>
  <c r="BU41" i="77"/>
  <c r="BT41" i="77"/>
  <c r="BS41" i="77"/>
  <c r="BR41" i="77"/>
  <c r="BV41" i="77" s="1"/>
  <c r="BQ41" i="77"/>
  <c r="BP41" i="77"/>
  <c r="BO41" i="77"/>
  <c r="BL41" i="77"/>
  <c r="BK41" i="77"/>
  <c r="BJ41" i="77"/>
  <c r="BI41" i="77"/>
  <c r="BM41" i="77" s="1"/>
  <c r="BH41" i="77"/>
  <c r="BG41" i="77"/>
  <c r="BF41" i="77"/>
  <c r="BC41" i="77"/>
  <c r="BB41" i="77"/>
  <c r="BA41" i="77"/>
  <c r="AZ41" i="77"/>
  <c r="BD41" i="77" s="1"/>
  <c r="CG41" i="77" s="1"/>
  <c r="AY41" i="77"/>
  <c r="AX41" i="77"/>
  <c r="AW41" i="77"/>
  <c r="K41" i="77"/>
  <c r="AO41" i="77" s="1"/>
  <c r="CD40" i="77"/>
  <c r="CC40" i="77"/>
  <c r="CB40" i="77"/>
  <c r="CA40" i="77"/>
  <c r="BZ40" i="77"/>
  <c r="BY40" i="77"/>
  <c r="BX40" i="77"/>
  <c r="BU40" i="77"/>
  <c r="BT40" i="77"/>
  <c r="BS40" i="77"/>
  <c r="BR40" i="77"/>
  <c r="BQ40" i="77"/>
  <c r="BP40" i="77"/>
  <c r="BO40" i="77"/>
  <c r="BV40" i="77" s="1"/>
  <c r="BL40" i="77"/>
  <c r="BK40" i="77"/>
  <c r="BJ40" i="77"/>
  <c r="BI40" i="77"/>
  <c r="BH40" i="77"/>
  <c r="BG40" i="77"/>
  <c r="BF40" i="77"/>
  <c r="BM40" i="77" s="1"/>
  <c r="BC40" i="77"/>
  <c r="BB40" i="77"/>
  <c r="BA40" i="77"/>
  <c r="AZ40" i="77"/>
  <c r="AY40" i="77"/>
  <c r="AX40" i="77"/>
  <c r="AW40" i="77"/>
  <c r="BD40" i="77" s="1"/>
  <c r="CD39" i="77"/>
  <c r="CC39" i="77"/>
  <c r="CB39" i="77"/>
  <c r="CA39" i="77"/>
  <c r="BZ39" i="77"/>
  <c r="CE39" i="77" s="1"/>
  <c r="BY39" i="77"/>
  <c r="BX39" i="77"/>
  <c r="BU39" i="77"/>
  <c r="BT39" i="77"/>
  <c r="BS39" i="77"/>
  <c r="BR39" i="77"/>
  <c r="BQ39" i="77"/>
  <c r="BV39" i="77" s="1"/>
  <c r="BP39" i="77"/>
  <c r="BO39" i="77"/>
  <c r="BL39" i="77"/>
  <c r="BK39" i="77"/>
  <c r="BJ39" i="77"/>
  <c r="BI39" i="77"/>
  <c r="BH39" i="77"/>
  <c r="BM39" i="77" s="1"/>
  <c r="BG39" i="77"/>
  <c r="BF39" i="77"/>
  <c r="BC39" i="77"/>
  <c r="BB39" i="77"/>
  <c r="BA39" i="77"/>
  <c r="AZ39" i="77"/>
  <c r="AY39" i="77"/>
  <c r="BD39" i="77" s="1"/>
  <c r="AX39" i="77"/>
  <c r="AW39" i="77"/>
  <c r="CE38" i="77"/>
  <c r="CD38" i="77"/>
  <c r="CC38" i="77"/>
  <c r="CB38" i="77"/>
  <c r="CA38" i="77"/>
  <c r="BZ38" i="77"/>
  <c r="BY38" i="77"/>
  <c r="BX38" i="77"/>
  <c r="BV38" i="77"/>
  <c r="BU38" i="77"/>
  <c r="BT38" i="77"/>
  <c r="BS38" i="77"/>
  <c r="BR38" i="77"/>
  <c r="BQ38" i="77"/>
  <c r="BP38" i="77"/>
  <c r="BO38" i="77"/>
  <c r="BM38" i="77"/>
  <c r="T38" i="77" s="1"/>
  <c r="AP38" i="77" s="1"/>
  <c r="BL38" i="77"/>
  <c r="BK38" i="77"/>
  <c r="BJ38" i="77"/>
  <c r="BI38" i="77"/>
  <c r="BH38" i="77"/>
  <c r="BG38" i="77"/>
  <c r="BF38" i="77"/>
  <c r="BD38" i="77"/>
  <c r="CG38" i="77" s="1"/>
  <c r="CK38" i="77" s="1"/>
  <c r="AS38" i="77" s="1"/>
  <c r="BC38" i="77"/>
  <c r="BB38" i="77"/>
  <c r="BA38" i="77"/>
  <c r="AZ38" i="77"/>
  <c r="AY38" i="77"/>
  <c r="AX38" i="77"/>
  <c r="AW38" i="77"/>
  <c r="K38" i="77"/>
  <c r="AO38" i="77" s="1"/>
  <c r="CE37" i="77"/>
  <c r="AL37" i="77" s="1"/>
  <c r="AR37" i="77" s="1"/>
  <c r="CD37" i="77"/>
  <c r="CC37" i="77"/>
  <c r="CB37" i="77"/>
  <c r="CA37" i="77"/>
  <c r="BZ37" i="77"/>
  <c r="BY37" i="77"/>
  <c r="BX37" i="77"/>
  <c r="BU37" i="77"/>
  <c r="BT37" i="77"/>
  <c r="BS37" i="77"/>
  <c r="BR37" i="77"/>
  <c r="BQ37" i="77"/>
  <c r="BP37" i="77"/>
  <c r="BO37" i="77"/>
  <c r="BV37" i="77" s="1"/>
  <c r="BL37" i="77"/>
  <c r="BK37" i="77"/>
  <c r="BJ37" i="77"/>
  <c r="BI37" i="77"/>
  <c r="BH37" i="77"/>
  <c r="BG37" i="77"/>
  <c r="BF37" i="77"/>
  <c r="BM37" i="77" s="1"/>
  <c r="BC37" i="77"/>
  <c r="BB37" i="77"/>
  <c r="BA37" i="77"/>
  <c r="AZ37" i="77"/>
  <c r="AY37" i="77"/>
  <c r="AX37" i="77"/>
  <c r="AW37" i="77"/>
  <c r="BD37" i="77" s="1"/>
  <c r="CD36" i="77"/>
  <c r="CC36" i="77"/>
  <c r="CB36" i="77"/>
  <c r="CA36" i="77"/>
  <c r="BZ36" i="77"/>
  <c r="BY36" i="77"/>
  <c r="BX36" i="77"/>
  <c r="CE36" i="77" s="1"/>
  <c r="AL36" i="77" s="1"/>
  <c r="AR36" i="77" s="1"/>
  <c r="BU36" i="77"/>
  <c r="BT36" i="77"/>
  <c r="BS36" i="77"/>
  <c r="BR36" i="77"/>
  <c r="BQ36" i="77"/>
  <c r="BP36" i="77"/>
  <c r="BO36" i="77"/>
  <c r="BL36" i="77"/>
  <c r="BK36" i="77"/>
  <c r="BJ36" i="77"/>
  <c r="BI36" i="77"/>
  <c r="BH36" i="77"/>
  <c r="BG36" i="77"/>
  <c r="BF36" i="77"/>
  <c r="BC36" i="77"/>
  <c r="BB36" i="77"/>
  <c r="BA36" i="77"/>
  <c r="AZ36" i="77"/>
  <c r="AY36" i="77"/>
  <c r="AX36" i="77"/>
  <c r="AW36" i="77"/>
  <c r="CD35" i="77"/>
  <c r="CC35" i="77"/>
  <c r="CB35" i="77"/>
  <c r="CA35" i="77"/>
  <c r="BZ35" i="77"/>
  <c r="BY35" i="77"/>
  <c r="BX35" i="77"/>
  <c r="CE35" i="77" s="1"/>
  <c r="BU35" i="77"/>
  <c r="BT35" i="77"/>
  <c r="BS35" i="77"/>
  <c r="BR35" i="77"/>
  <c r="BQ35" i="77"/>
  <c r="BP35" i="77"/>
  <c r="BO35" i="77"/>
  <c r="BL35" i="77"/>
  <c r="BK35" i="77"/>
  <c r="BJ35" i="77"/>
  <c r="BI35" i="77"/>
  <c r="BH35" i="77"/>
  <c r="BG35" i="77"/>
  <c r="BF35" i="77"/>
  <c r="BM35" i="77" s="1"/>
  <c r="BC35" i="77"/>
  <c r="BB35" i="77"/>
  <c r="BA35" i="77"/>
  <c r="AZ35" i="77"/>
  <c r="AY35" i="77"/>
  <c r="AX35" i="77"/>
  <c r="AW35" i="77"/>
  <c r="BD35" i="77" s="1"/>
  <c r="CD34" i="77"/>
  <c r="CE34" i="77" s="1"/>
  <c r="CC34" i="77"/>
  <c r="CB34" i="77"/>
  <c r="CA34" i="77"/>
  <c r="BZ34" i="77"/>
  <c r="BY34" i="77"/>
  <c r="BX34" i="77"/>
  <c r="BU34" i="77"/>
  <c r="BT34" i="77"/>
  <c r="BS34" i="77"/>
  <c r="BR34" i="77"/>
  <c r="BQ34" i="77"/>
  <c r="BP34" i="77"/>
  <c r="BO34" i="77"/>
  <c r="BL34" i="77"/>
  <c r="BK34" i="77"/>
  <c r="BJ34" i="77"/>
  <c r="BI34" i="77"/>
  <c r="BH34" i="77"/>
  <c r="BG34" i="77"/>
  <c r="BF34" i="77"/>
  <c r="BC34" i="77"/>
  <c r="BB34" i="77"/>
  <c r="BA34" i="77"/>
  <c r="AZ34" i="77"/>
  <c r="AY34" i="77"/>
  <c r="AX34" i="77"/>
  <c r="AW34" i="77"/>
  <c r="CD33" i="77"/>
  <c r="CE33" i="77" s="1"/>
  <c r="CC33" i="77"/>
  <c r="CB33" i="77"/>
  <c r="CA33" i="77"/>
  <c r="BZ33" i="77"/>
  <c r="BY33" i="77"/>
  <c r="BX33" i="77"/>
  <c r="BU33" i="77"/>
  <c r="BV33" i="77" s="1"/>
  <c r="BT33" i="77"/>
  <c r="BS33" i="77"/>
  <c r="BR33" i="77"/>
  <c r="BQ33" i="77"/>
  <c r="BP33" i="77"/>
  <c r="BO33" i="77"/>
  <c r="BL33" i="77"/>
  <c r="BM33" i="77" s="1"/>
  <c r="BK33" i="77"/>
  <c r="BJ33" i="77"/>
  <c r="BI33" i="77"/>
  <c r="BH33" i="77"/>
  <c r="BG33" i="77"/>
  <c r="BF33" i="77"/>
  <c r="BC33" i="77"/>
  <c r="BD33" i="77" s="1"/>
  <c r="BB33" i="77"/>
  <c r="BA33" i="77"/>
  <c r="AZ33" i="77"/>
  <c r="AY33" i="77"/>
  <c r="AX33" i="77"/>
  <c r="AW33" i="77"/>
  <c r="CD32" i="77"/>
  <c r="CC32" i="77"/>
  <c r="CB32" i="77"/>
  <c r="CA32" i="77"/>
  <c r="BZ32" i="77"/>
  <c r="BY32" i="77"/>
  <c r="BX32" i="77"/>
  <c r="CE32" i="77" s="1"/>
  <c r="CJ32" i="77" s="1"/>
  <c r="BU32" i="77"/>
  <c r="BT32" i="77"/>
  <c r="BS32" i="77"/>
  <c r="BR32" i="77"/>
  <c r="BQ32" i="77"/>
  <c r="BP32" i="77"/>
  <c r="BO32" i="77"/>
  <c r="BL32" i="77"/>
  <c r="BK32" i="77"/>
  <c r="BJ32" i="77"/>
  <c r="BI32" i="77"/>
  <c r="BH32" i="77"/>
  <c r="BG32" i="77"/>
  <c r="BF32" i="77"/>
  <c r="BC32" i="77"/>
  <c r="BB32" i="77"/>
  <c r="BA32" i="77"/>
  <c r="AZ32" i="77"/>
  <c r="AY32" i="77"/>
  <c r="AX32" i="77"/>
  <c r="AW32" i="77"/>
  <c r="AL32" i="77"/>
  <c r="AR32" i="77" s="1"/>
  <c r="CE31" i="77"/>
  <c r="CJ31" i="77" s="1"/>
  <c r="CD31" i="77"/>
  <c r="CC31" i="77"/>
  <c r="CB31" i="77"/>
  <c r="CA31" i="77"/>
  <c r="BZ31" i="77"/>
  <c r="BY31" i="77"/>
  <c r="BX31" i="77"/>
  <c r="BU31" i="77"/>
  <c r="BT31" i="77"/>
  <c r="BS31" i="77"/>
  <c r="BR31" i="77"/>
  <c r="BQ31" i="77"/>
  <c r="BP31" i="77"/>
  <c r="BV31" i="77" s="1"/>
  <c r="BO31" i="77"/>
  <c r="BL31" i="77"/>
  <c r="BK31" i="77"/>
  <c r="BJ31" i="77"/>
  <c r="BI31" i="77"/>
  <c r="BH31" i="77"/>
  <c r="BG31" i="77"/>
  <c r="BM31" i="77" s="1"/>
  <c r="BF31" i="77"/>
  <c r="BD31" i="77"/>
  <c r="K31" i="77" s="1"/>
  <c r="AO31" i="77" s="1"/>
  <c r="BC31" i="77"/>
  <c r="BB31" i="77"/>
  <c r="BA31" i="77"/>
  <c r="AZ31" i="77"/>
  <c r="AY31" i="77"/>
  <c r="AX31" i="77"/>
  <c r="AW31" i="77"/>
  <c r="CD30" i="77"/>
  <c r="CC30" i="77"/>
  <c r="CE30" i="77" s="1"/>
  <c r="CB30" i="77"/>
  <c r="CA30" i="77"/>
  <c r="BZ30" i="77"/>
  <c r="BY30" i="77"/>
  <c r="BX30" i="77"/>
  <c r="BU30" i="77"/>
  <c r="BT30" i="77"/>
  <c r="BV30" i="77" s="1"/>
  <c r="BS30" i="77"/>
  <c r="BR30" i="77"/>
  <c r="BQ30" i="77"/>
  <c r="BP30" i="77"/>
  <c r="BO30" i="77"/>
  <c r="BL30" i="77"/>
  <c r="BK30" i="77"/>
  <c r="BJ30" i="77"/>
  <c r="BI30" i="77"/>
  <c r="BH30" i="77"/>
  <c r="BG30" i="77"/>
  <c r="BF30" i="77"/>
  <c r="BC30" i="77"/>
  <c r="BB30" i="77"/>
  <c r="BA30" i="77"/>
  <c r="AZ30" i="77"/>
  <c r="AY30" i="77"/>
  <c r="AX30" i="77"/>
  <c r="AW30" i="77"/>
  <c r="CE29" i="77"/>
  <c r="AL29" i="77" s="1"/>
  <c r="AR29" i="77" s="1"/>
  <c r="CD29" i="77"/>
  <c r="CC29" i="77"/>
  <c r="CB29" i="77"/>
  <c r="CA29" i="77"/>
  <c r="BZ29" i="77"/>
  <c r="BY29" i="77"/>
  <c r="BX29" i="77"/>
  <c r="BU29" i="77"/>
  <c r="BT29" i="77"/>
  <c r="BS29" i="77"/>
  <c r="BR29" i="77"/>
  <c r="BQ29" i="77"/>
  <c r="BP29" i="77"/>
  <c r="BO29" i="77"/>
  <c r="BV29" i="77" s="1"/>
  <c r="BM29" i="77"/>
  <c r="BL29" i="77"/>
  <c r="BK29" i="77"/>
  <c r="BJ29" i="77"/>
  <c r="BI29" i="77"/>
  <c r="BH29" i="77"/>
  <c r="BG29" i="77"/>
  <c r="BF29" i="77"/>
  <c r="BC29" i="77"/>
  <c r="BB29" i="77"/>
  <c r="BA29" i="77"/>
  <c r="AZ29" i="77"/>
  <c r="AY29" i="77"/>
  <c r="AX29" i="77"/>
  <c r="AW29" i="77"/>
  <c r="BD29" i="77" s="1"/>
  <c r="CD28" i="77"/>
  <c r="CC28" i="77"/>
  <c r="CB28" i="77"/>
  <c r="CA28" i="77"/>
  <c r="BZ28" i="77"/>
  <c r="BY28" i="77"/>
  <c r="CE28" i="77" s="1"/>
  <c r="CJ28" i="77" s="1"/>
  <c r="BX28" i="77"/>
  <c r="BU28" i="77"/>
  <c r="BT28" i="77"/>
  <c r="BS28" i="77"/>
  <c r="BR28" i="77"/>
  <c r="BQ28" i="77"/>
  <c r="BP28" i="77"/>
  <c r="BO28" i="77"/>
  <c r="BL28" i="77"/>
  <c r="BK28" i="77"/>
  <c r="BJ28" i="77"/>
  <c r="BI28" i="77"/>
  <c r="BH28" i="77"/>
  <c r="BG28" i="77"/>
  <c r="BF28" i="77"/>
  <c r="BC28" i="77"/>
  <c r="BB28" i="77"/>
  <c r="BA28" i="77"/>
  <c r="AZ28" i="77"/>
  <c r="AY28" i="77"/>
  <c r="AX28" i="77"/>
  <c r="AW28" i="77"/>
  <c r="AL28" i="77"/>
  <c r="AR28" i="77" s="1"/>
  <c r="CE27" i="77"/>
  <c r="CJ27" i="77" s="1"/>
  <c r="CD27" i="77"/>
  <c r="CC27" i="77"/>
  <c r="CB27" i="77"/>
  <c r="CA27" i="77"/>
  <c r="BZ27" i="77"/>
  <c r="BY27" i="77"/>
  <c r="BX27" i="77"/>
  <c r="BU27" i="77"/>
  <c r="BT27" i="77"/>
  <c r="BS27" i="77"/>
  <c r="BR27" i="77"/>
  <c r="BQ27" i="77"/>
  <c r="BP27" i="77"/>
  <c r="BO27" i="77"/>
  <c r="BV27" i="77" s="1"/>
  <c r="CI27" i="77" s="1"/>
  <c r="BL27" i="77"/>
  <c r="BK27" i="77"/>
  <c r="BJ27" i="77"/>
  <c r="BI27" i="77"/>
  <c r="BH27" i="77"/>
  <c r="BG27" i="77"/>
  <c r="BF27" i="77"/>
  <c r="BM27" i="77" s="1"/>
  <c r="BD27" i="77"/>
  <c r="BC27" i="77"/>
  <c r="BB27" i="77"/>
  <c r="BA27" i="77"/>
  <c r="AZ27" i="77"/>
  <c r="AY27" i="77"/>
  <c r="AX27" i="77"/>
  <c r="AW27" i="77"/>
  <c r="AL27" i="77"/>
  <c r="AR27" i="77" s="1"/>
  <c r="CD26" i="77"/>
  <c r="CC26" i="77"/>
  <c r="CE26" i="77" s="1"/>
  <c r="CB26" i="77"/>
  <c r="CA26" i="77"/>
  <c r="BZ26" i="77"/>
  <c r="BY26" i="77"/>
  <c r="BX26" i="77"/>
  <c r="BU26" i="77"/>
  <c r="BT26" i="77"/>
  <c r="BV26" i="77" s="1"/>
  <c r="BS26" i="77"/>
  <c r="BR26" i="77"/>
  <c r="BQ26" i="77"/>
  <c r="BP26" i="77"/>
  <c r="BO26" i="77"/>
  <c r="BL26" i="77"/>
  <c r="BK26" i="77"/>
  <c r="BJ26" i="77"/>
  <c r="BI26" i="77"/>
  <c r="BH26" i="77"/>
  <c r="BG26" i="77"/>
  <c r="BF26" i="77"/>
  <c r="BC26" i="77"/>
  <c r="BB26" i="77"/>
  <c r="BA26" i="77"/>
  <c r="AZ26" i="77"/>
  <c r="AY26" i="77"/>
  <c r="AX26" i="77"/>
  <c r="AW26" i="77"/>
  <c r="CD25" i="77"/>
  <c r="CC25" i="77"/>
  <c r="CE25" i="77" s="1"/>
  <c r="CB25" i="77"/>
  <c r="CA25" i="77"/>
  <c r="BZ25" i="77"/>
  <c r="BY25" i="77"/>
  <c r="BX25" i="77"/>
  <c r="BU25" i="77"/>
  <c r="BT25" i="77"/>
  <c r="BS25" i="77"/>
  <c r="BR25" i="77"/>
  <c r="BQ25" i="77"/>
  <c r="BP25" i="77"/>
  <c r="BO25" i="77"/>
  <c r="BL25" i="77"/>
  <c r="BK25" i="77"/>
  <c r="BM25" i="77" s="1"/>
  <c r="BJ25" i="77"/>
  <c r="BI25" i="77"/>
  <c r="BH25" i="77"/>
  <c r="BG25" i="77"/>
  <c r="BF25" i="77"/>
  <c r="BC25" i="77"/>
  <c r="BB25" i="77"/>
  <c r="BA25" i="77"/>
  <c r="AZ25" i="77"/>
  <c r="AY25" i="77"/>
  <c r="AX25" i="77"/>
  <c r="AW25" i="77"/>
  <c r="CD24" i="77"/>
  <c r="CC24" i="77"/>
  <c r="CB24" i="77"/>
  <c r="CA24" i="77"/>
  <c r="BZ24" i="77"/>
  <c r="BY24" i="77"/>
  <c r="BX24" i="77"/>
  <c r="BU24" i="77"/>
  <c r="BT24" i="77"/>
  <c r="BS24" i="77"/>
  <c r="BR24" i="77"/>
  <c r="BQ24" i="77"/>
  <c r="BP24" i="77"/>
  <c r="BO24" i="77"/>
  <c r="BL24" i="77"/>
  <c r="BK24" i="77"/>
  <c r="BJ24" i="77"/>
  <c r="BI24" i="77"/>
  <c r="BH24" i="77"/>
  <c r="BG24" i="77"/>
  <c r="BF24" i="77"/>
  <c r="BC24" i="77"/>
  <c r="BB24" i="77"/>
  <c r="BA24" i="77"/>
  <c r="AZ24" i="77"/>
  <c r="AY24" i="77"/>
  <c r="AX24" i="77"/>
  <c r="AW24" i="77"/>
  <c r="CD23" i="77"/>
  <c r="CC23" i="77"/>
  <c r="CB23" i="77"/>
  <c r="CA23" i="77"/>
  <c r="CE23" i="77" s="1"/>
  <c r="AL23" i="77" s="1"/>
  <c r="AR23" i="77" s="1"/>
  <c r="BZ23" i="77"/>
  <c r="BY23" i="77"/>
  <c r="BX23" i="77"/>
  <c r="BU23" i="77"/>
  <c r="BT23" i="77"/>
  <c r="BS23" i="77"/>
  <c r="BR23" i="77"/>
  <c r="BQ23" i="77"/>
  <c r="BP23" i="77"/>
  <c r="BO23" i="77"/>
  <c r="BL23" i="77"/>
  <c r="BK23" i="77"/>
  <c r="BJ23" i="77"/>
  <c r="BI23" i="77"/>
  <c r="BH23" i="77"/>
  <c r="BG23" i="77"/>
  <c r="BF23" i="77"/>
  <c r="BC23" i="77"/>
  <c r="BB23" i="77"/>
  <c r="BA23" i="77"/>
  <c r="AZ23" i="77"/>
  <c r="AY23" i="77"/>
  <c r="AX23" i="77"/>
  <c r="AW23" i="77"/>
  <c r="CD22" i="77"/>
  <c r="CC22" i="77"/>
  <c r="CE22" i="77" s="1"/>
  <c r="CB22" i="77"/>
  <c r="CA22" i="77"/>
  <c r="BZ22" i="77"/>
  <c r="BY22" i="77"/>
  <c r="BX22" i="77"/>
  <c r="BU22" i="77"/>
  <c r="BT22" i="77"/>
  <c r="BV22" i="77" s="1"/>
  <c r="CI22" i="77" s="1"/>
  <c r="BS22" i="77"/>
  <c r="BR22" i="77"/>
  <c r="BQ22" i="77"/>
  <c r="BP22" i="77"/>
  <c r="BO22" i="77"/>
  <c r="BL22" i="77"/>
  <c r="BK22" i="77"/>
  <c r="BJ22" i="77"/>
  <c r="BI22" i="77"/>
  <c r="BH22" i="77"/>
  <c r="BG22" i="77"/>
  <c r="BF22" i="77"/>
  <c r="BC22" i="77"/>
  <c r="BB22" i="77"/>
  <c r="BA22" i="77"/>
  <c r="AZ22" i="77"/>
  <c r="AY22" i="77"/>
  <c r="AX22" i="77"/>
  <c r="AW22" i="77"/>
  <c r="CD21" i="77"/>
  <c r="CC21" i="77"/>
  <c r="CE21" i="77" s="1"/>
  <c r="CB21" i="77"/>
  <c r="CA21" i="77"/>
  <c r="BZ21" i="77"/>
  <c r="BY21" i="77"/>
  <c r="BX21" i="77"/>
  <c r="BU21" i="77"/>
  <c r="BT21" i="77"/>
  <c r="BS21" i="77"/>
  <c r="BR21" i="77"/>
  <c r="BQ21" i="77"/>
  <c r="BP21" i="77"/>
  <c r="BO21" i="77"/>
  <c r="BL21" i="77"/>
  <c r="BK21" i="77"/>
  <c r="BM21" i="77" s="1"/>
  <c r="BJ21" i="77"/>
  <c r="BI21" i="77"/>
  <c r="BH21" i="77"/>
  <c r="BG21" i="77"/>
  <c r="BF21" i="77"/>
  <c r="BC21" i="77"/>
  <c r="BB21" i="77"/>
  <c r="BA21" i="77"/>
  <c r="AZ21" i="77"/>
  <c r="AY21" i="77"/>
  <c r="AX21" i="77"/>
  <c r="AW21" i="77"/>
  <c r="CD20" i="77"/>
  <c r="CC20" i="77"/>
  <c r="CB20" i="77"/>
  <c r="CA20" i="77"/>
  <c r="BZ20" i="77"/>
  <c r="BY20" i="77"/>
  <c r="BX20" i="77"/>
  <c r="BU20" i="77"/>
  <c r="BT20" i="77"/>
  <c r="BS20" i="77"/>
  <c r="BR20" i="77"/>
  <c r="BQ20" i="77"/>
  <c r="BP20" i="77"/>
  <c r="BO20" i="77"/>
  <c r="BL20" i="77"/>
  <c r="BK20" i="77"/>
  <c r="BJ20" i="77"/>
  <c r="BI20" i="77"/>
  <c r="BH20" i="77"/>
  <c r="BG20" i="77"/>
  <c r="BF20" i="77"/>
  <c r="BC20" i="77"/>
  <c r="BB20" i="77"/>
  <c r="BA20" i="77"/>
  <c r="AZ20" i="77"/>
  <c r="AY20" i="77"/>
  <c r="AX20" i="77"/>
  <c r="AW20" i="77"/>
  <c r="CD19" i="77"/>
  <c r="CE19" i="77" s="1"/>
  <c r="CC19" i="77"/>
  <c r="CB19" i="77"/>
  <c r="CA19" i="77"/>
  <c r="BZ19" i="77"/>
  <c r="BY19" i="77"/>
  <c r="BX19" i="77"/>
  <c r="BU19" i="77"/>
  <c r="BT19" i="77"/>
  <c r="BS19" i="77"/>
  <c r="BR19" i="77"/>
  <c r="BQ19" i="77"/>
  <c r="BP19" i="77"/>
  <c r="BO19" i="77"/>
  <c r="BL19" i="77"/>
  <c r="BM19" i="77" s="1"/>
  <c r="BK19" i="77"/>
  <c r="BJ19" i="77"/>
  <c r="BI19" i="77"/>
  <c r="BH19" i="77"/>
  <c r="BG19" i="77"/>
  <c r="BF19" i="77"/>
  <c r="BC19" i="77"/>
  <c r="BB19" i="77"/>
  <c r="BA19" i="77"/>
  <c r="AZ19" i="77"/>
  <c r="AY19" i="77"/>
  <c r="AX19" i="77"/>
  <c r="AW19" i="77"/>
  <c r="CD18" i="77"/>
  <c r="CC18" i="77"/>
  <c r="CB18" i="77"/>
  <c r="CA18" i="77"/>
  <c r="BZ18" i="77"/>
  <c r="BY18" i="77"/>
  <c r="BX18" i="77"/>
  <c r="BU18" i="77"/>
  <c r="BT18" i="77"/>
  <c r="BS18" i="77"/>
  <c r="BR18" i="77"/>
  <c r="BQ18" i="77"/>
  <c r="BP18" i="77"/>
  <c r="BO18" i="77"/>
  <c r="BL18" i="77"/>
  <c r="BK18" i="77"/>
  <c r="BJ18" i="77"/>
  <c r="BI18" i="77"/>
  <c r="BH18" i="77"/>
  <c r="BG18" i="77"/>
  <c r="BF18" i="77"/>
  <c r="BC18" i="77"/>
  <c r="BB18" i="77"/>
  <c r="BA18" i="77"/>
  <c r="AZ18" i="77"/>
  <c r="AY18" i="77"/>
  <c r="AX18" i="77"/>
  <c r="AW18" i="77"/>
  <c r="CD17" i="77"/>
  <c r="CC17" i="77"/>
  <c r="CB17" i="77"/>
  <c r="CA17" i="77"/>
  <c r="BZ17" i="77"/>
  <c r="BY17" i="77"/>
  <c r="BX17" i="77"/>
  <c r="BU17" i="77"/>
  <c r="BT17" i="77"/>
  <c r="BS17" i="77"/>
  <c r="BR17" i="77"/>
  <c r="BQ17" i="77"/>
  <c r="BP17" i="77"/>
  <c r="BO17" i="77"/>
  <c r="BL17" i="77"/>
  <c r="BK17" i="77"/>
  <c r="BJ17" i="77"/>
  <c r="BI17" i="77"/>
  <c r="BH17" i="77"/>
  <c r="BG17" i="77"/>
  <c r="BF17" i="77"/>
  <c r="BC17" i="77"/>
  <c r="BB17" i="77"/>
  <c r="BA17" i="77"/>
  <c r="AZ17" i="77"/>
  <c r="AY17" i="77"/>
  <c r="AX17" i="77"/>
  <c r="AW17" i="77"/>
  <c r="CD16" i="77"/>
  <c r="CC16" i="77"/>
  <c r="CB16" i="77"/>
  <c r="CA16" i="77"/>
  <c r="BZ16" i="77"/>
  <c r="BY16" i="77"/>
  <c r="CE16" i="77" s="1"/>
  <c r="BX16" i="77"/>
  <c r="BU16" i="77"/>
  <c r="BT16" i="77"/>
  <c r="BS16" i="77"/>
  <c r="BR16" i="77"/>
  <c r="BQ16" i="77"/>
  <c r="BP16" i="77"/>
  <c r="BO16" i="77"/>
  <c r="BL16" i="77"/>
  <c r="BK16" i="77"/>
  <c r="BJ16" i="77"/>
  <c r="BI16" i="77"/>
  <c r="BH16" i="77"/>
  <c r="BG16" i="77"/>
  <c r="BM16" i="77" s="1"/>
  <c r="BF16" i="77"/>
  <c r="BC16" i="77"/>
  <c r="BB16" i="77"/>
  <c r="BA16" i="77"/>
  <c r="AZ16" i="77"/>
  <c r="AY16" i="77"/>
  <c r="AX16" i="77"/>
  <c r="AW16" i="77"/>
  <c r="CD15" i="77"/>
  <c r="CC15" i="77"/>
  <c r="CB15" i="77"/>
  <c r="CE15" i="77" s="1"/>
  <c r="CA15" i="77"/>
  <c r="BZ15" i="77"/>
  <c r="BY15" i="77"/>
  <c r="BX15" i="77"/>
  <c r="BU15" i="77"/>
  <c r="BT15" i="77"/>
  <c r="BS15" i="77"/>
  <c r="BR15" i="77"/>
  <c r="BQ15" i="77"/>
  <c r="BP15" i="77"/>
  <c r="BO15" i="77"/>
  <c r="BL15" i="77"/>
  <c r="BK15" i="77"/>
  <c r="BJ15" i="77"/>
  <c r="BI15" i="77"/>
  <c r="BH15" i="77"/>
  <c r="BG15" i="77"/>
  <c r="BF15" i="77"/>
  <c r="BC15" i="77"/>
  <c r="BB15" i="77"/>
  <c r="BA15" i="77"/>
  <c r="AZ15" i="77"/>
  <c r="AY15" i="77"/>
  <c r="AX15" i="77"/>
  <c r="AW15" i="77"/>
  <c r="CD14" i="77"/>
  <c r="CC14" i="77"/>
  <c r="CB14" i="77"/>
  <c r="CA14" i="77"/>
  <c r="BZ14" i="77"/>
  <c r="BY14" i="77"/>
  <c r="BX14" i="77"/>
  <c r="BU14" i="77"/>
  <c r="BT14" i="77"/>
  <c r="BS14" i="77"/>
  <c r="BR14" i="77"/>
  <c r="BQ14" i="77"/>
  <c r="BP14" i="77"/>
  <c r="BO14" i="77"/>
  <c r="BV14" i="77" s="1"/>
  <c r="AC14" i="77" s="1"/>
  <c r="AQ14" i="77" s="1"/>
  <c r="BL14" i="77"/>
  <c r="BK14" i="77"/>
  <c r="BJ14" i="77"/>
  <c r="BI14" i="77"/>
  <c r="BH14" i="77"/>
  <c r="BG14" i="77"/>
  <c r="BF14" i="77"/>
  <c r="BC14" i="77"/>
  <c r="BB14" i="77"/>
  <c r="BA14" i="77"/>
  <c r="AZ14" i="77"/>
  <c r="AY14" i="77"/>
  <c r="AX14" i="77"/>
  <c r="AW14" i="77"/>
  <c r="CD13" i="77"/>
  <c r="CC13" i="77"/>
  <c r="CB13" i="77"/>
  <c r="CA13" i="77"/>
  <c r="BZ13" i="77"/>
  <c r="BY13" i="77"/>
  <c r="CE13" i="77" s="1"/>
  <c r="BX13" i="77"/>
  <c r="BU13" i="77"/>
  <c r="BT13" i="77"/>
  <c r="BS13" i="77"/>
  <c r="BR13" i="77"/>
  <c r="BQ13" i="77"/>
  <c r="BP13" i="77"/>
  <c r="BO13" i="77"/>
  <c r="BL13" i="77"/>
  <c r="BK13" i="77"/>
  <c r="BJ13" i="77"/>
  <c r="BI13" i="77"/>
  <c r="BH13" i="77"/>
  <c r="BG13" i="77"/>
  <c r="BF13" i="77"/>
  <c r="BC13" i="77"/>
  <c r="BB13" i="77"/>
  <c r="BA13" i="77"/>
  <c r="AZ13" i="77"/>
  <c r="AY13" i="77"/>
  <c r="AX13" i="77"/>
  <c r="AW13" i="77"/>
  <c r="CD12" i="77"/>
  <c r="CC12" i="77"/>
  <c r="CB12" i="77"/>
  <c r="CA12" i="77"/>
  <c r="BZ12" i="77"/>
  <c r="BY12" i="77"/>
  <c r="BX12" i="77"/>
  <c r="CE12" i="77" s="1"/>
  <c r="CJ12" i="77" s="1"/>
  <c r="BU12" i="77"/>
  <c r="BT12" i="77"/>
  <c r="BS12" i="77"/>
  <c r="BR12" i="77"/>
  <c r="BQ12" i="77"/>
  <c r="BP12" i="77"/>
  <c r="BO12" i="77"/>
  <c r="BL12" i="77"/>
  <c r="BK12" i="77"/>
  <c r="BJ12" i="77"/>
  <c r="BI12" i="77"/>
  <c r="BH12" i="77"/>
  <c r="BG12" i="77"/>
  <c r="BF12" i="77"/>
  <c r="BC12" i="77"/>
  <c r="BB12" i="77"/>
  <c r="BA12" i="77"/>
  <c r="AZ12" i="77"/>
  <c r="AY12" i="77"/>
  <c r="AX12" i="77"/>
  <c r="AW12" i="77"/>
  <c r="AL12" i="77"/>
  <c r="AR12" i="77" s="1"/>
  <c r="CO11" i="77"/>
  <c r="CD11" i="77"/>
  <c r="CC11" i="77"/>
  <c r="CB11" i="77"/>
  <c r="CA11" i="77"/>
  <c r="BZ11" i="77"/>
  <c r="BY11" i="77"/>
  <c r="BX11" i="77"/>
  <c r="CE11" i="77" s="1"/>
  <c r="AL11" i="77" s="1"/>
  <c r="AR11" i="77" s="1"/>
  <c r="BU11" i="77"/>
  <c r="BT11" i="77"/>
  <c r="BS11" i="77"/>
  <c r="BR11" i="77"/>
  <c r="BQ11" i="77"/>
  <c r="BP11" i="77"/>
  <c r="BO11" i="77"/>
  <c r="BL11" i="77"/>
  <c r="BK11" i="77"/>
  <c r="BJ11" i="77"/>
  <c r="BI11" i="77"/>
  <c r="BH11" i="77"/>
  <c r="BG11" i="77"/>
  <c r="BF11" i="77"/>
  <c r="BC11" i="77"/>
  <c r="BB11" i="77"/>
  <c r="BA11" i="77"/>
  <c r="AZ11" i="77"/>
  <c r="AY11" i="77"/>
  <c r="AX11" i="77"/>
  <c r="AW11" i="77"/>
  <c r="AE8" i="77"/>
  <c r="V8" i="77"/>
  <c r="M8" i="77"/>
  <c r="D8" i="77"/>
  <c r="BV16" i="77" l="1"/>
  <c r="BV21" i="77"/>
  <c r="BV19" i="77"/>
  <c r="AC22" i="77"/>
  <c r="AQ22" i="77" s="1"/>
  <c r="BV25" i="77"/>
  <c r="BV35" i="77"/>
  <c r="AC35" i="77" s="1"/>
  <c r="AQ35" i="77" s="1"/>
  <c r="BV34" i="77"/>
  <c r="AC34" i="77" s="1"/>
  <c r="AQ34" i="77" s="1"/>
  <c r="BV13" i="77"/>
  <c r="CI13" i="77" s="1"/>
  <c r="BV32" i="77"/>
  <c r="BV15" i="77"/>
  <c r="BV23" i="77"/>
  <c r="CI23" i="77" s="1"/>
  <c r="BV36" i="77"/>
  <c r="BM13" i="77"/>
  <c r="T13" i="77" s="1"/>
  <c r="AP13" i="77" s="1"/>
  <c r="BM26" i="77"/>
  <c r="BM34" i="77"/>
  <c r="T34" i="77" s="1"/>
  <c r="AP34" i="77" s="1"/>
  <c r="BM30" i="77"/>
  <c r="BM14" i="77"/>
  <c r="BM15" i="77"/>
  <c r="BM23" i="77"/>
  <c r="CH23" i="77" s="1"/>
  <c r="BM36" i="77"/>
  <c r="CG37" i="77"/>
  <c r="K37" i="77"/>
  <c r="AO37" i="77" s="1"/>
  <c r="BD13" i="77"/>
  <c r="BD22" i="77"/>
  <c r="BD26" i="77"/>
  <c r="BD34" i="77"/>
  <c r="BD15" i="77"/>
  <c r="CG15" i="77" s="1"/>
  <c r="BD23" i="77"/>
  <c r="K23" i="77" s="1"/>
  <c r="AO23" i="77" s="1"/>
  <c r="BD30" i="77"/>
  <c r="BD16" i="77"/>
  <c r="BD21" i="77"/>
  <c r="BD19" i="77"/>
  <c r="BD25" i="77"/>
  <c r="CJ16" i="77"/>
  <c r="AL16" i="77"/>
  <c r="AR16" i="77" s="1"/>
  <c r="K22" i="77"/>
  <c r="AO22" i="77" s="1"/>
  <c r="CG22" i="77"/>
  <c r="CH15" i="77"/>
  <c r="T15" i="77"/>
  <c r="AP15" i="77" s="1"/>
  <c r="CJ19" i="77"/>
  <c r="AL19" i="77"/>
  <c r="AR19" i="77" s="1"/>
  <c r="AL25" i="77"/>
  <c r="AR25" i="77" s="1"/>
  <c r="CJ25" i="77"/>
  <c r="CH30" i="77"/>
  <c r="T30" i="77"/>
  <c r="AP30" i="77" s="1"/>
  <c r="CJ39" i="77"/>
  <c r="AL39" i="77"/>
  <c r="AR39" i="77" s="1"/>
  <c r="CI19" i="77"/>
  <c r="AC19" i="77"/>
  <c r="AQ19" i="77" s="1"/>
  <c r="AL33" i="77"/>
  <c r="AR33" i="77" s="1"/>
  <c r="CJ33" i="77"/>
  <c r="CJ13" i="77"/>
  <c r="AL13" i="77"/>
  <c r="AR13" i="77" s="1"/>
  <c r="K19" i="77"/>
  <c r="AO19" i="77" s="1"/>
  <c r="CG19" i="77"/>
  <c r="CK19" i="77" s="1"/>
  <c r="AS19" i="77" s="1"/>
  <c r="CG25" i="77"/>
  <c r="K25" i="77"/>
  <c r="AO25" i="77" s="1"/>
  <c r="CH33" i="77"/>
  <c r="T33" i="77"/>
  <c r="AP33" i="77" s="1"/>
  <c r="AL35" i="77"/>
  <c r="AR35" i="77" s="1"/>
  <c r="CJ35" i="77"/>
  <c r="CG39" i="77"/>
  <c r="CK39" i="77" s="1"/>
  <c r="AS39" i="77" s="1"/>
  <c r="K39" i="77"/>
  <c r="AO39" i="77" s="1"/>
  <c r="CI15" i="77"/>
  <c r="AC15" i="77"/>
  <c r="AQ15" i="77" s="1"/>
  <c r="AL21" i="77"/>
  <c r="AR21" i="77" s="1"/>
  <c r="CJ21" i="77"/>
  <c r="K26" i="77"/>
  <c r="AO26" i="77" s="1"/>
  <c r="CG26" i="77"/>
  <c r="CI30" i="77"/>
  <c r="AC30" i="77"/>
  <c r="AQ30" i="77" s="1"/>
  <c r="CH34" i="77"/>
  <c r="CI16" i="77"/>
  <c r="AC16" i="77"/>
  <c r="AQ16" i="77" s="1"/>
  <c r="CI21" i="77"/>
  <c r="AC21" i="77"/>
  <c r="AQ21" i="77" s="1"/>
  <c r="K34" i="77"/>
  <c r="AO34" i="77" s="1"/>
  <c r="CG34" i="77"/>
  <c r="CG21" i="77"/>
  <c r="K21" i="77"/>
  <c r="AO21" i="77" s="1"/>
  <c r="T39" i="77"/>
  <c r="AP39" i="77" s="1"/>
  <c r="CH39" i="77"/>
  <c r="AC13" i="77"/>
  <c r="AQ13" i="77" s="1"/>
  <c r="CJ26" i="77"/>
  <c r="AL26" i="77"/>
  <c r="AR26" i="77" s="1"/>
  <c r="CG33" i="77"/>
  <c r="K33" i="77"/>
  <c r="AO33" i="77" s="1"/>
  <c r="CI35" i="77"/>
  <c r="AC39" i="77"/>
  <c r="AQ39" i="77" s="1"/>
  <c r="CI39" i="77"/>
  <c r="CG16" i="77"/>
  <c r="K16" i="77"/>
  <c r="AO16" i="77" s="1"/>
  <c r="CH25" i="77"/>
  <c r="T25" i="77"/>
  <c r="AP25" i="77" s="1"/>
  <c r="CH13" i="77"/>
  <c r="CI26" i="77"/>
  <c r="AC26" i="77"/>
  <c r="AQ26" i="77" s="1"/>
  <c r="CJ34" i="77"/>
  <c r="AL34" i="77"/>
  <c r="AR34" i="77" s="1"/>
  <c r="T35" i="77"/>
  <c r="AP35" i="77" s="1"/>
  <c r="CH35" i="77"/>
  <c r="T16" i="77"/>
  <c r="AP16" i="77" s="1"/>
  <c r="CH16" i="77"/>
  <c r="CH21" i="77"/>
  <c r="T21" i="77"/>
  <c r="AP21" i="77" s="1"/>
  <c r="CI25" i="77"/>
  <c r="AC25" i="77"/>
  <c r="AQ25" i="77" s="1"/>
  <c r="K30" i="77"/>
  <c r="AO30" i="77" s="1"/>
  <c r="CG30" i="77"/>
  <c r="CK30" i="77" s="1"/>
  <c r="AS30" i="77" s="1"/>
  <c r="CH19" i="77"/>
  <c r="T19" i="77"/>
  <c r="AP19" i="77" s="1"/>
  <c r="CI33" i="77"/>
  <c r="AC33" i="77"/>
  <c r="AQ33" i="77" s="1"/>
  <c r="K13" i="77"/>
  <c r="AO13" i="77" s="1"/>
  <c r="CG13" i="77"/>
  <c r="CJ15" i="77"/>
  <c r="AL15" i="77"/>
  <c r="AR15" i="77" s="1"/>
  <c r="T26" i="77"/>
  <c r="AP26" i="77" s="1"/>
  <c r="CH26" i="77"/>
  <c r="CJ30" i="77"/>
  <c r="AL30" i="77"/>
  <c r="AR30" i="77" s="1"/>
  <c r="CI34" i="77"/>
  <c r="K35" i="77"/>
  <c r="AO35" i="77" s="1"/>
  <c r="CG35" i="77"/>
  <c r="BD14" i="77"/>
  <c r="CE18" i="77"/>
  <c r="CJ36" i="77"/>
  <c r="CJ47" i="77"/>
  <c r="BV12" i="77"/>
  <c r="BV18" i="77"/>
  <c r="CH38" i="77"/>
  <c r="CG40" i="77"/>
  <c r="CK40" i="77" s="1"/>
  <c r="AS40" i="77" s="1"/>
  <c r="K40" i="77"/>
  <c r="AO40" i="77" s="1"/>
  <c r="T44" i="77"/>
  <c r="AP44" i="77" s="1"/>
  <c r="CH44" i="77"/>
  <c r="AC46" i="77"/>
  <c r="AQ46" i="77" s="1"/>
  <c r="BV11" i="77"/>
  <c r="BM12" i="77"/>
  <c r="CE17" i="77"/>
  <c r="BM18" i="77"/>
  <c r="T36" i="77"/>
  <c r="AP36" i="77" s="1"/>
  <c r="CH36" i="77"/>
  <c r="CI41" i="77"/>
  <c r="AC41" i="77"/>
  <c r="AQ41" i="77" s="1"/>
  <c r="CG44" i="77"/>
  <c r="CK44" i="77" s="1"/>
  <c r="AS44" i="77" s="1"/>
  <c r="K44" i="77"/>
  <c r="AO44" i="77" s="1"/>
  <c r="AL45" i="77"/>
  <c r="AR45" i="77" s="1"/>
  <c r="CJ45" i="77"/>
  <c r="CG48" i="77"/>
  <c r="CK48" i="77" s="1"/>
  <c r="AS48" i="77" s="1"/>
  <c r="K48" i="77"/>
  <c r="AO48" i="77" s="1"/>
  <c r="AL49" i="77"/>
  <c r="AR49" i="77" s="1"/>
  <c r="CJ49" i="77"/>
  <c r="BM50" i="77"/>
  <c r="CG29" i="77"/>
  <c r="K29" i="77"/>
  <c r="AO29" i="77" s="1"/>
  <c r="CI29" i="77"/>
  <c r="AC29" i="77"/>
  <c r="AQ29" i="77" s="1"/>
  <c r="CJ42" i="77"/>
  <c r="AL42" i="77"/>
  <c r="AR42" i="77" s="1"/>
  <c r="BM11" i="77"/>
  <c r="CJ11" i="77"/>
  <c r="BD12" i="77"/>
  <c r="BV17" i="77"/>
  <c r="BD18" i="77"/>
  <c r="CE20" i="77"/>
  <c r="BM22" i="77"/>
  <c r="CJ23" i="77"/>
  <c r="BM32" i="77"/>
  <c r="BD36" i="77"/>
  <c r="CH37" i="77"/>
  <c r="T37" i="77"/>
  <c r="AP37" i="77" s="1"/>
  <c r="CI37" i="77"/>
  <c r="AC37" i="77"/>
  <c r="AQ37" i="77" s="1"/>
  <c r="CH41" i="77"/>
  <c r="T41" i="77"/>
  <c r="AP41" i="77" s="1"/>
  <c r="CI45" i="77"/>
  <c r="AC45" i="77"/>
  <c r="AQ45" i="77" s="1"/>
  <c r="CI49" i="77"/>
  <c r="AC49" i="77"/>
  <c r="AQ49" i="77" s="1"/>
  <c r="BD50" i="77"/>
  <c r="CH29" i="77"/>
  <c r="T29" i="77"/>
  <c r="AP29" i="77" s="1"/>
  <c r="T31" i="77"/>
  <c r="AP31" i="77" s="1"/>
  <c r="CH31" i="77"/>
  <c r="AC31" i="77"/>
  <c r="AQ31" i="77" s="1"/>
  <c r="CI31" i="77"/>
  <c r="CJ29" i="77"/>
  <c r="CG31" i="77"/>
  <c r="CI38" i="77"/>
  <c r="AC38" i="77"/>
  <c r="AQ38" i="77" s="1"/>
  <c r="CI40" i="77"/>
  <c r="AC40" i="77"/>
  <c r="AQ40" i="77" s="1"/>
  <c r="CI43" i="77"/>
  <c r="CJ50" i="77"/>
  <c r="AL50" i="77"/>
  <c r="AR50" i="77" s="1"/>
  <c r="T27" i="77"/>
  <c r="AP27" i="77" s="1"/>
  <c r="CH27" i="77"/>
  <c r="CJ22" i="77"/>
  <c r="AL22" i="77"/>
  <c r="AR22" i="77" s="1"/>
  <c r="BD11" i="77"/>
  <c r="CI14" i="77"/>
  <c r="BM17" i="77"/>
  <c r="AC23" i="77"/>
  <c r="AQ23" i="77" s="1"/>
  <c r="CE24" i="77"/>
  <c r="AL31" i="77"/>
  <c r="AR31" i="77" s="1"/>
  <c r="CJ37" i="77"/>
  <c r="CH45" i="77"/>
  <c r="T45" i="77"/>
  <c r="AP45" i="77" s="1"/>
  <c r="BM49" i="77"/>
  <c r="CH14" i="77"/>
  <c r="T14" i="77"/>
  <c r="AP14" i="77" s="1"/>
  <c r="CJ38" i="77"/>
  <c r="AL38" i="77"/>
  <c r="AR38" i="77" s="1"/>
  <c r="CI42" i="77"/>
  <c r="AC42" i="77"/>
  <c r="AQ42" i="77" s="1"/>
  <c r="CJ46" i="77"/>
  <c r="AL46" i="77"/>
  <c r="AR46" i="77" s="1"/>
  <c r="K27" i="77"/>
  <c r="AO27" i="77" s="1"/>
  <c r="CG27" i="77"/>
  <c r="CK27" i="77" s="1"/>
  <c r="AS27" i="77" s="1"/>
  <c r="T40" i="77"/>
  <c r="AP40" i="77" s="1"/>
  <c r="CH40" i="77"/>
  <c r="CJ43" i="77"/>
  <c r="CE14" i="77"/>
  <c r="BD17" i="77"/>
  <c r="AC27" i="77"/>
  <c r="AQ27" i="77" s="1"/>
  <c r="CJ41" i="77"/>
  <c r="BD45" i="77"/>
  <c r="BD49" i="77"/>
  <c r="BV20" i="77"/>
  <c r="BM24" i="77"/>
  <c r="BD28" i="77"/>
  <c r="BM28" i="77"/>
  <c r="BD32" i="77"/>
  <c r="CE48" i="77"/>
  <c r="BV24" i="77"/>
  <c r="BV28" i="77"/>
  <c r="BM20" i="77"/>
  <c r="BD24" i="77"/>
  <c r="CE44" i="77"/>
  <c r="BV48" i="77"/>
  <c r="BD20" i="77"/>
  <c r="CE40" i="77"/>
  <c r="BV44" i="77"/>
  <c r="BM48" i="77"/>
  <c r="CK37" i="77" l="1"/>
  <c r="AS37" i="77" s="1"/>
  <c r="AC36" i="77"/>
  <c r="AQ36" i="77" s="1"/>
  <c r="CI36" i="77"/>
  <c r="CK15" i="77"/>
  <c r="AS15" i="77" s="1"/>
  <c r="CK34" i="77"/>
  <c r="AS34" i="77" s="1"/>
  <c r="CK35" i="77"/>
  <c r="AS35" i="77" s="1"/>
  <c r="CK33" i="77"/>
  <c r="AS33" i="77" s="1"/>
  <c r="CK29" i="77"/>
  <c r="AS29" i="77" s="1"/>
  <c r="CK13" i="77"/>
  <c r="AS13" i="77" s="1"/>
  <c r="AC32" i="77"/>
  <c r="AQ32" i="77" s="1"/>
  <c r="CI32" i="77"/>
  <c r="CK21" i="77"/>
  <c r="AS21" i="77" s="1"/>
  <c r="CK25" i="77"/>
  <c r="AS25" i="77" s="1"/>
  <c r="CK16" i="77"/>
  <c r="AS16" i="77" s="1"/>
  <c r="CK26" i="77"/>
  <c r="AS26" i="77" s="1"/>
  <c r="T23" i="77"/>
  <c r="AP23" i="77" s="1"/>
  <c r="CK31" i="77"/>
  <c r="AS31" i="77" s="1"/>
  <c r="CG23" i="77"/>
  <c r="CK23" i="77" s="1"/>
  <c r="AS23" i="77" s="1"/>
  <c r="K15" i="77"/>
  <c r="AO15" i="77" s="1"/>
  <c r="CJ14" i="77"/>
  <c r="AL14" i="77"/>
  <c r="AR14" i="77" s="1"/>
  <c r="AC18" i="77"/>
  <c r="AQ18" i="77" s="1"/>
  <c r="CI18" i="77"/>
  <c r="CI44" i="77"/>
  <c r="AC44" i="77"/>
  <c r="AQ44" i="77" s="1"/>
  <c r="CG45" i="77"/>
  <c r="CK45" i="77" s="1"/>
  <c r="AS45" i="77" s="1"/>
  <c r="K45" i="77"/>
  <c r="AO45" i="77" s="1"/>
  <c r="CJ18" i="77"/>
  <c r="AL18" i="77"/>
  <c r="AR18" i="77" s="1"/>
  <c r="CG28" i="77"/>
  <c r="K28" i="77"/>
  <c r="AO28" i="77" s="1"/>
  <c r="T24" i="77"/>
  <c r="AP24" i="77" s="1"/>
  <c r="CH24" i="77"/>
  <c r="AC28" i="77"/>
  <c r="AQ28" i="77" s="1"/>
  <c r="CI28" i="77"/>
  <c r="CG49" i="77"/>
  <c r="CK49" i="77" s="1"/>
  <c r="AS49" i="77" s="1"/>
  <c r="K49" i="77"/>
  <c r="AO49" i="77" s="1"/>
  <c r="CG50" i="77"/>
  <c r="CK50" i="77" s="1"/>
  <c r="AS50" i="77" s="1"/>
  <c r="K50" i="77"/>
  <c r="AO50" i="77" s="1"/>
  <c r="CJ20" i="77"/>
  <c r="AL20" i="77"/>
  <c r="AR20" i="77" s="1"/>
  <c r="CI24" i="77"/>
  <c r="AC24" i="77"/>
  <c r="AQ24" i="77" s="1"/>
  <c r="CG18" i="77"/>
  <c r="K18" i="77"/>
  <c r="AO18" i="77" s="1"/>
  <c r="AL40" i="77"/>
  <c r="AR40" i="77" s="1"/>
  <c r="CJ40" i="77"/>
  <c r="CJ48" i="77"/>
  <c r="AL48" i="77"/>
  <c r="AR48" i="77" s="1"/>
  <c r="T17" i="77"/>
  <c r="AP17" i="77" s="1"/>
  <c r="CH17" i="77"/>
  <c r="CI17" i="77"/>
  <c r="AC17" i="77"/>
  <c r="AQ17" i="77" s="1"/>
  <c r="CG14" i="77"/>
  <c r="CK14" i="77" s="1"/>
  <c r="AS14" i="77" s="1"/>
  <c r="K14" i="77"/>
  <c r="AO14" i="77" s="1"/>
  <c r="CJ44" i="77"/>
  <c r="AL44" i="77"/>
  <c r="AR44" i="77" s="1"/>
  <c r="CI12" i="77"/>
  <c r="AC12" i="77"/>
  <c r="AQ12" i="77" s="1"/>
  <c r="T20" i="77"/>
  <c r="AP20" i="77" s="1"/>
  <c r="CH20" i="77"/>
  <c r="T48" i="77"/>
  <c r="AP48" i="77" s="1"/>
  <c r="CH48" i="77"/>
  <c r="CJ24" i="77"/>
  <c r="AL24" i="77"/>
  <c r="AR24" i="77" s="1"/>
  <c r="CG20" i="77"/>
  <c r="K20" i="77"/>
  <c r="AO20" i="77" s="1"/>
  <c r="CG32" i="77"/>
  <c r="K32" i="77"/>
  <c r="AO32" i="77" s="1"/>
  <c r="CH49" i="77"/>
  <c r="T49" i="77"/>
  <c r="AP49" i="77" s="1"/>
  <c r="CG36" i="77"/>
  <c r="CK36" i="77" s="1"/>
  <c r="AS36" i="77" s="1"/>
  <c r="K36" i="77"/>
  <c r="AO36" i="77" s="1"/>
  <c r="CG12" i="77"/>
  <c r="CK12" i="77" s="1"/>
  <c r="AS12" i="77" s="1"/>
  <c r="K12" i="77"/>
  <c r="AO12" i="77" s="1"/>
  <c r="CH18" i="77"/>
  <c r="T18" i="77"/>
  <c r="AP18" i="77" s="1"/>
  <c r="CH11" i="77"/>
  <c r="T11" i="77"/>
  <c r="AP11" i="77" s="1"/>
  <c r="T12" i="77"/>
  <c r="AP12" i="77" s="1"/>
  <c r="CH12" i="77"/>
  <c r="CG24" i="77"/>
  <c r="CK24" i="77" s="1"/>
  <c r="AS24" i="77" s="1"/>
  <c r="K24" i="77"/>
  <c r="AO24" i="77" s="1"/>
  <c r="AC11" i="77"/>
  <c r="AQ11" i="77" s="1"/>
  <c r="CI11" i="77"/>
  <c r="CI20" i="77"/>
  <c r="AC20" i="77"/>
  <c r="AQ20" i="77" s="1"/>
  <c r="CH22" i="77"/>
  <c r="CK22" i="77" s="1"/>
  <c r="AS22" i="77" s="1"/>
  <c r="T22" i="77"/>
  <c r="AP22" i="77" s="1"/>
  <c r="CI48" i="77"/>
  <c r="AC48" i="77"/>
  <c r="AQ48" i="77" s="1"/>
  <c r="T28" i="77"/>
  <c r="AP28" i="77" s="1"/>
  <c r="CH28" i="77"/>
  <c r="K17" i="77"/>
  <c r="AO17" i="77" s="1"/>
  <c r="CG17" i="77"/>
  <c r="K11" i="77"/>
  <c r="AO11" i="77" s="1"/>
  <c r="CG11" i="77"/>
  <c r="T32" i="77"/>
  <c r="AP32" i="77" s="1"/>
  <c r="CH32" i="77"/>
  <c r="CH50" i="77"/>
  <c r="T50" i="77"/>
  <c r="AP50" i="77" s="1"/>
  <c r="CJ17" i="77"/>
  <c r="AL17" i="77"/>
  <c r="AR17" i="77" s="1"/>
  <c r="CK20" i="77" l="1"/>
  <c r="AS20" i="77" s="1"/>
  <c r="CK11" i="77"/>
  <c r="AS11" i="77" s="1"/>
  <c r="CK17" i="77"/>
  <c r="AS17" i="77" s="1"/>
  <c r="CK28" i="77"/>
  <c r="AS28" i="77" s="1"/>
  <c r="CK32" i="77"/>
  <c r="AS32" i="77" s="1"/>
  <c r="CK18" i="77"/>
  <c r="AS18" i="77" s="1"/>
  <c r="DB12" i="77"/>
  <c r="CZ12" i="77"/>
  <c r="CX12" i="77"/>
  <c r="CV12" i="77"/>
  <c r="DG12" i="77" l="1"/>
  <c r="DD13" i="77" s="1"/>
  <c r="CX13" i="77"/>
  <c r="CZ13" i="77"/>
  <c r="CV13" i="77" l="1"/>
  <c r="DG13" i="77" s="1"/>
  <c r="DB13" i="77"/>
</calcChain>
</file>

<file path=xl/sharedStrings.xml><?xml version="1.0" encoding="utf-8"?>
<sst xmlns="http://schemas.openxmlformats.org/spreadsheetml/2006/main" count="554" uniqueCount="118">
  <si>
    <t>ÁREA</t>
  </si>
  <si>
    <t>N° DE ORDEN</t>
  </si>
  <si>
    <t>APELLIDOS Y NOMBRES</t>
  </si>
  <si>
    <t>GRADO</t>
  </si>
  <si>
    <t>SECCIÓN</t>
  </si>
  <si>
    <t>RESUMEN</t>
  </si>
  <si>
    <t>A</t>
  </si>
  <si>
    <t>IEP</t>
  </si>
  <si>
    <t>DOCENTE</t>
  </si>
  <si>
    <t>AD</t>
  </si>
  <si>
    <t>B</t>
  </si>
  <si>
    <t>C</t>
  </si>
  <si>
    <t>NIVEL DE LOGRO</t>
  </si>
  <si>
    <t>No evaluados</t>
  </si>
  <si>
    <t>TOTAL</t>
  </si>
  <si>
    <t>AGROPECUARIO 110 - YURIMAGUAS</t>
  </si>
  <si>
    <t>TRIMESTRE</t>
  </si>
  <si>
    <t>PRIMERO</t>
  </si>
  <si>
    <t>Se comunica oralmente en su lengua materna.</t>
  </si>
  <si>
    <t>Lee diversos tipos de textos escritos en lengua materna.</t>
  </si>
  <si>
    <t>Escribe diversos tipos de textos en lengua materna.</t>
  </si>
  <si>
    <t>Construye su identidad.</t>
  </si>
  <si>
    <t>Convive y participa democráticamente en la búsqueda del bien común.</t>
  </si>
  <si>
    <t>OBSERVACIONES</t>
  </si>
  <si>
    <t>DESARROLLO PERSONAL, CIUDADANÍA Y CÍVICA</t>
  </si>
  <si>
    <t>E</t>
  </si>
  <si>
    <t>SEGUNDO</t>
  </si>
  <si>
    <t>MATEMÁTICA</t>
  </si>
  <si>
    <t>Diseña y construye soluciones tecnológicas para resolver problemas de su entorno.</t>
  </si>
  <si>
    <t>Explica el mundo físico basándose en conocimientos sobre los seres vivos, materia y energía, biodiversidad, Tierra y universo.</t>
  </si>
  <si>
    <t>CIENCIA Y TECNOLOGÍA</t>
  </si>
  <si>
    <t>Gestiona responsablemente los recursos económicos.</t>
  </si>
  <si>
    <t>CIENCIAS SOCIALES</t>
  </si>
  <si>
    <t>Asume la experiencia del encuentro personal y comunitario con Dios en su proyecto de vida en coherencia con su creencia religiosa.</t>
  </si>
  <si>
    <t>Construye su identidad como persona humana, amada por Dios, digna, libre y trascendente, comprendiendo la doctrina de su propia religión, abierto al diálogo con las que le son cercanas.</t>
  </si>
  <si>
    <t>EDUCACIÓN RELIGIOSA</t>
  </si>
  <si>
    <t>Se comunica oralmente en inglés como lengua extranjera.</t>
  </si>
  <si>
    <t>TERCERO</t>
  </si>
  <si>
    <t>INGLÉS</t>
  </si>
  <si>
    <t>Crea proyectos desde los lenguajes artísticos.</t>
  </si>
  <si>
    <t>Aprecia de manera crítica manifestaciones artístico-culturales.</t>
  </si>
  <si>
    <t>ARTE Y CULTURA</t>
  </si>
  <si>
    <t>Asume una vida saludable.</t>
  </si>
  <si>
    <t>Se desenvuelve de manera autónoma a través de su motricidad.</t>
  </si>
  <si>
    <t>CUARTO</t>
  </si>
  <si>
    <t>EDUCACIÓN FÍSICA</t>
  </si>
  <si>
    <t>QUINTO</t>
  </si>
  <si>
    <t>Gestiona proyectos de emprendimiento económico o social.</t>
  </si>
  <si>
    <t>EDUCACIÓN POR EL TRABAJO</t>
  </si>
  <si>
    <t>AREA</t>
  </si>
  <si>
    <t>COMPETENCIA</t>
  </si>
  <si>
    <t>COMUNICACIÓN</t>
  </si>
  <si>
    <t xml:space="preserve"> - -</t>
  </si>
  <si>
    <t>Resuelve problemas de cantidad.</t>
  </si>
  <si>
    <t>Resuelve problemas de regularidad, equivalencia y cambio.</t>
  </si>
  <si>
    <t>Resuelve problemas de forma, movimiento y localización.</t>
  </si>
  <si>
    <t>Resuelve problemas de gestión de datos e incertidumbre.</t>
  </si>
  <si>
    <t>Construye interpretaciones históricas.</t>
  </si>
  <si>
    <t>Gestiona responsablemente el espacio y el ambiente.</t>
  </si>
  <si>
    <t>Indaga mediante métodos científicos para construir conocimientos.</t>
  </si>
  <si>
    <t>Lee diversos tipos de textos escritos en inglés como lengua extranjera.</t>
  </si>
  <si>
    <t>Escribe diversos tipos de textos en inglés como lengua extranjera.</t>
  </si>
  <si>
    <t>Interactúa a través de sus habilidades sociomotrices</t>
  </si>
  <si>
    <t>SE DESENVUELVE EN ENTORNOS
VIRTUALES GENERADOS POR LAS TIC</t>
  </si>
  <si>
    <t>GESTIONA SU APRENDIZAJE DE
MANERA AUTÓNOMA</t>
  </si>
  <si>
    <t>D</t>
  </si>
  <si>
    <t>RESUMEN TRIMESTRAL</t>
  </si>
  <si>
    <t>CONCLUSION DESCRIPTIVA</t>
  </si>
  <si>
    <t>COMPT 1</t>
  </si>
  <si>
    <t>COMPT 2</t>
  </si>
  <si>
    <t>COMPT 3</t>
  </si>
  <si>
    <t>COMPT 4</t>
  </si>
  <si>
    <t>COMPETENCIAS TRANSVERSALES</t>
  </si>
  <si>
    <t xml:space="preserve"> CRITERIOS DE EVALUACIÓN </t>
  </si>
  <si>
    <t xml:space="preserve"> COMPETENCIAS</t>
  </si>
  <si>
    <t>REGISTRO AUXILIAR DE EVALUACIÓN 2025 - SECUNDARIA</t>
  </si>
  <si>
    <t>I</t>
  </si>
  <si>
    <t>AGURTO JIMENEZ, JORGE BERNABE</t>
  </si>
  <si>
    <t>AMASIFEN HUANSI, DILCIA BELKI</t>
  </si>
  <si>
    <t>CALLE RAMOS, EDINSON ENOC</t>
  </si>
  <si>
    <t>DAVILA NAVARRO, MAILY NICOL</t>
  </si>
  <si>
    <t>GONZALEZ PINEDO, FELIX ÁNDREY</t>
  </si>
  <si>
    <t>GONZALEZ PINEDO, NOBEL ANTHONY</t>
  </si>
  <si>
    <t>HURTADO LOMAS, KARLA YESENIA</t>
  </si>
  <si>
    <t>LANCHA PIZANGO, KETTY SUSAN</t>
  </si>
  <si>
    <t>RIOS ROJAS, RUTH</t>
  </si>
  <si>
    <t>SALAZAR VILCA, MARINA</t>
  </si>
  <si>
    <t>JULIO CESAR MARTEL VASQUEZ</t>
  </si>
  <si>
    <t>TRABAJOS</t>
  </si>
  <si>
    <t>EXAMENES</t>
  </si>
  <si>
    <t>PARTICIPACION</t>
  </si>
  <si>
    <t>EXPOSICION</t>
  </si>
  <si>
    <t>Logra realizar indagaciones importantes que le permiten la construcción de sus conocimientos</t>
  </si>
  <si>
    <t>Presenta dificultades para realizar indagaciones y lograr la construcción de sus conocimientos</t>
  </si>
  <si>
    <t>No logra realizar indagaciones y lograr la construcción de sus conocimientos</t>
  </si>
  <si>
    <t>Logra dar explicaciones importantes sobre conocimientos del mundo físico, seres vivos y el universo.</t>
  </si>
  <si>
    <t>Tiene dificultades para explicar  conocimientos sobre el mundo físico, los seres vivos y el universo.</t>
  </si>
  <si>
    <t>No logra explicar  conocimientos sobre el mundo físico, los seres vivos y el universo.</t>
  </si>
  <si>
    <t>Logra diseñar y construir tecnologías básicas que le permiten resolver problemas de su entorno</t>
  </si>
  <si>
    <t>Tiene dificultades para diseñar y construir tecnologia que le permitan resolver problemas de su entorno</t>
  </si>
  <si>
    <t>No logra diseñar y construir tecnologia que le permitan resolver problemas de su entorno</t>
  </si>
  <si>
    <t>CAHUAZA YAICATE, MARCELO</t>
  </si>
  <si>
    <t>CALAMPA CAREAJANO, ROY ANGEL</t>
  </si>
  <si>
    <t>GARCIA URQUIA, LUIS ANDRES</t>
  </si>
  <si>
    <t>IJUMA SHUPINGAHUA, KARLA BRICEIDA</t>
  </si>
  <si>
    <t>LANCHA RIOS, CHERLITA</t>
  </si>
  <si>
    <t>MEGO TORRES, MILY MIREYA</t>
  </si>
  <si>
    <t>MOZOMBITE PIZANGO, IKAMY ZOLANSH</t>
  </si>
  <si>
    <t>OJANAMA NOTENO, NICOLE</t>
  </si>
  <si>
    <t>PEZO YUMBATO, LUZ CLARITA</t>
  </si>
  <si>
    <t>PILCO VALERA, LIZ ESTHER</t>
  </si>
  <si>
    <t>PISCO LOZANO, LIZ MARIANA</t>
  </si>
  <si>
    <t>RIOS TANGOA, SHARELIN JAILI</t>
  </si>
  <si>
    <t>SUAREZ CASTILLO, JEISON LEANDRO</t>
  </si>
  <si>
    <t>SUAREZ CORDOVA, GELEN</t>
  </si>
  <si>
    <t>TAPAYURI ACUBINO, STEVEN RICARDO</t>
  </si>
  <si>
    <t>TUESTA MONTES, TOMMY ROY</t>
  </si>
  <si>
    <t>VARGAS TORRES, LUCIANA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</si>
</sst>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Trebuchet MS"/>
      <family val="2"/>
    </font>
    <font>
      <b/>
      <sz val="16"/>
      <color theme="1"/>
      <name val="Arial Black"/>
      <family val="2"/>
    </font>
    <font>
      <b/>
      <sz val="26"/>
      <color theme="1"/>
      <name val="Bodoni MT Black"/>
      <family val="1"/>
    </font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8"/>
      <color theme="1"/>
      <name val="Arial Narrow"/>
      <family val="2"/>
    </font>
    <font>
      <b/>
      <sz val="36"/>
      <color theme="1"/>
      <name val="Bodoni MT Black"/>
      <family val="1"/>
    </font>
    <font>
      <b/>
      <sz val="14"/>
      <color theme="1"/>
      <name val="Tahoma"/>
      <family val="2"/>
    </font>
    <font>
      <b/>
      <sz val="14"/>
      <color theme="0"/>
      <name val="Tahoma"/>
      <family val="2"/>
    </font>
    <font>
      <b/>
      <sz val="14"/>
      <color theme="1"/>
      <name val="Verdana"/>
      <family val="2"/>
    </font>
    <font>
      <b/>
      <sz val="18"/>
      <color theme="1"/>
      <name val="Arial Black"/>
      <family val="2"/>
    </font>
    <font>
      <b/>
      <sz val="12"/>
      <color theme="1"/>
      <name val="Tahoma"/>
      <family val="2"/>
    </font>
    <font>
      <b/>
      <sz val="14"/>
      <color theme="0"/>
      <name val="Verdana"/>
      <family val="2"/>
    </font>
    <font>
      <b/>
      <sz val="20"/>
      <color theme="1"/>
      <name val="Arial Black"/>
      <family val="2"/>
    </font>
    <font>
      <sz val="11"/>
      <color theme="1"/>
      <name val="Trebuchet MS"/>
      <family val="2"/>
    </font>
    <font>
      <b/>
      <sz val="16"/>
      <color theme="1"/>
      <name val="Verdana"/>
      <family val="2"/>
    </font>
    <font>
      <sz val="20"/>
      <color theme="1"/>
      <name val="Trebuchet MS"/>
      <family val="2"/>
    </font>
    <font>
      <sz val="18"/>
      <color theme="1"/>
      <name val="Arial Black"/>
      <family val="2"/>
    </font>
    <font>
      <b/>
      <sz val="20"/>
      <color theme="1"/>
      <name val="Arial Narrow"/>
      <family val="2"/>
    </font>
    <font>
      <b/>
      <sz val="22"/>
      <color theme="1"/>
      <name val="Agency FB"/>
      <family val="2"/>
    </font>
    <font>
      <b/>
      <sz val="22"/>
      <color theme="1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Bookman Old Style"/>
      <family val="1"/>
    </font>
    <font>
      <b/>
      <sz val="18"/>
      <color theme="1"/>
      <name val="Trebuchet MS"/>
      <family val="2"/>
    </font>
    <font>
      <sz val="24"/>
      <color theme="1"/>
      <name val="Arial Black"/>
      <family val="2"/>
    </font>
    <font>
      <b/>
      <sz val="11"/>
      <color theme="1"/>
      <name val="Trebuchet MS"/>
      <family val="2"/>
    </font>
    <font>
      <b/>
      <sz val="16"/>
      <color theme="1"/>
      <name val="Arial Narrow"/>
      <family val="2"/>
    </font>
    <font>
      <b/>
      <sz val="20"/>
      <color theme="1"/>
      <name val="Trebuchet MS"/>
      <family val="2"/>
    </font>
    <font>
      <sz val="10"/>
      <color theme="1"/>
      <name val="Times New Roman"/>
      <family val="1"/>
    </font>
    <font>
      <sz val="14"/>
      <name val="Comic Sans MS"/>
      <family val="4"/>
    </font>
    <font>
      <sz val="14"/>
      <color theme="1"/>
      <name val="Comic Sans MS"/>
      <family val="4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 applyProtection="1"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21" xfId="0" applyFont="1" applyBorder="1" applyAlignment="1" applyProtection="1">
      <alignment horizontal="left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" fillId="0" borderId="0" xfId="0" applyFont="1"/>
    <xf numFmtId="0" fontId="18" fillId="0" borderId="4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left" vertical="center"/>
      <protection locked="0"/>
    </xf>
    <xf numFmtId="0" fontId="13" fillId="8" borderId="28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textRotation="90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11" borderId="18" xfId="0" applyFont="1" applyFill="1" applyBorder="1" applyAlignment="1">
      <alignment vertical="center"/>
    </xf>
    <xf numFmtId="0" fontId="27" fillId="0" borderId="0" xfId="0" applyFont="1" applyAlignment="1" applyProtection="1">
      <alignment horizontal="center" vertical="center"/>
      <protection locked="0"/>
    </xf>
    <xf numFmtId="0" fontId="25" fillId="11" borderId="3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" fillId="0" borderId="12" xfId="0" applyFont="1" applyBorder="1" applyAlignment="1" applyProtection="1">
      <alignment horizontal="center"/>
      <protection locked="0"/>
    </xf>
    <xf numFmtId="0" fontId="7" fillId="11" borderId="17" xfId="0" applyFont="1" applyFill="1" applyBorder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11" borderId="13" xfId="0" applyFont="1" applyFill="1" applyBorder="1" applyAlignment="1">
      <alignment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47" xfId="0" applyFont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textRotation="90" wrapText="1"/>
    </xf>
    <xf numFmtId="0" fontId="23" fillId="0" borderId="37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33" fillId="10" borderId="48" xfId="0" applyFont="1" applyFill="1" applyBorder="1" applyAlignment="1">
      <alignment horizontal="left" vertical="center" wrapText="1"/>
    </xf>
    <xf numFmtId="0" fontId="33" fillId="10" borderId="19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center" vertical="center"/>
    </xf>
    <xf numFmtId="0" fontId="33" fillId="10" borderId="2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23" fillId="0" borderId="37" xfId="0" applyFont="1" applyBorder="1" applyAlignment="1" applyProtection="1">
      <alignment horizontal="center" vertical="center" textRotation="90"/>
      <protection locked="0"/>
    </xf>
    <xf numFmtId="0" fontId="23" fillId="0" borderId="38" xfId="0" applyFont="1" applyBorder="1" applyAlignment="1" applyProtection="1">
      <alignment horizontal="center" vertical="center" textRotation="90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9" fontId="14" fillId="0" borderId="28" xfId="2" applyFont="1" applyBorder="1" applyAlignment="1" applyProtection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1" fillId="9" borderId="46" xfId="0" applyFont="1" applyFill="1" applyBorder="1" applyAlignment="1">
      <alignment horizontal="center" vertical="center" textRotation="90" wrapText="1"/>
    </xf>
    <xf numFmtId="0" fontId="31" fillId="9" borderId="45" xfId="0" applyFont="1" applyFill="1" applyBorder="1" applyAlignment="1">
      <alignment horizontal="center" vertical="center" textRotation="90" wrapText="1"/>
    </xf>
    <xf numFmtId="0" fontId="16" fillId="7" borderId="28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8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24" fillId="11" borderId="13" xfId="0" applyFont="1" applyFill="1" applyBorder="1" applyAlignment="1" applyProtection="1">
      <alignment horizontal="center" vertical="center" wrapText="1"/>
      <protection locked="0"/>
    </xf>
    <xf numFmtId="0" fontId="24" fillId="11" borderId="18" xfId="0" applyFont="1" applyFill="1" applyBorder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1" fillId="11" borderId="9" xfId="0" applyFont="1" applyFill="1" applyBorder="1" applyAlignment="1" applyProtection="1">
      <alignment horizontal="center"/>
      <protection locked="0"/>
    </xf>
    <xf numFmtId="0" fontId="1" fillId="11" borderId="6" xfId="0" applyFont="1" applyFill="1" applyBorder="1" applyAlignment="1" applyProtection="1">
      <alignment horizontal="center"/>
      <protection locked="0"/>
    </xf>
    <xf numFmtId="0" fontId="1" fillId="11" borderId="11" xfId="0" applyFont="1" applyFill="1" applyBorder="1" applyAlignment="1" applyProtection="1">
      <alignment horizontal="center"/>
      <protection locked="0"/>
    </xf>
    <xf numFmtId="0" fontId="1" fillId="11" borderId="12" xfId="0" applyFont="1" applyFill="1" applyBorder="1" applyAlignment="1" applyProtection="1">
      <alignment horizontal="center"/>
      <protection locked="0"/>
    </xf>
    <xf numFmtId="0" fontId="1" fillId="11" borderId="14" xfId="0" applyFont="1" applyFill="1" applyBorder="1" applyAlignment="1" applyProtection="1">
      <alignment horizontal="center"/>
      <protection locked="0"/>
    </xf>
    <xf numFmtId="0" fontId="1" fillId="11" borderId="16" xfId="0" applyFont="1" applyFill="1" applyBorder="1" applyAlignment="1" applyProtection="1">
      <alignment horizontal="center"/>
      <protection locked="0"/>
    </xf>
    <xf numFmtId="0" fontId="11" fillId="11" borderId="2" xfId="0" applyFont="1" applyFill="1" applyBorder="1" applyAlignment="1" applyProtection="1">
      <alignment horizontal="center" vertical="center"/>
      <protection locked="0"/>
    </xf>
    <xf numFmtId="0" fontId="11" fillId="11" borderId="3" xfId="0" applyFont="1" applyFill="1" applyBorder="1" applyAlignment="1" applyProtection="1">
      <alignment horizontal="center" vertical="center"/>
      <protection locked="0"/>
    </xf>
    <xf numFmtId="0" fontId="11" fillId="11" borderId="4" xfId="0" applyFont="1" applyFill="1" applyBorder="1" applyAlignment="1" applyProtection="1">
      <alignment horizontal="center" vertical="center"/>
      <protection locked="0"/>
    </xf>
    <xf numFmtId="0" fontId="25" fillId="11" borderId="2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18" fillId="11" borderId="13" xfId="0" applyFont="1" applyFill="1" applyBorder="1" applyAlignment="1" applyProtection="1">
      <alignment horizontal="center" vertical="center" textRotation="90"/>
      <protection locked="0"/>
    </xf>
    <xf numFmtId="0" fontId="18" fillId="11" borderId="17" xfId="0" applyFont="1" applyFill="1" applyBorder="1" applyAlignment="1" applyProtection="1">
      <alignment horizontal="center" vertical="center" textRotation="90"/>
      <protection locked="0"/>
    </xf>
    <xf numFmtId="0" fontId="18" fillId="11" borderId="18" xfId="0" applyFont="1" applyFill="1" applyBorder="1" applyAlignment="1" applyProtection="1">
      <alignment horizontal="center" vertical="center" textRotation="90"/>
      <protection locked="0"/>
    </xf>
    <xf numFmtId="0" fontId="26" fillId="11" borderId="9" xfId="0" applyFont="1" applyFill="1" applyBorder="1" applyAlignment="1" applyProtection="1">
      <alignment horizontal="center" vertical="center" wrapText="1"/>
      <protection locked="0"/>
    </xf>
    <xf numFmtId="0" fontId="26" fillId="11" borderId="11" xfId="0" applyFont="1" applyFill="1" applyBorder="1" applyAlignment="1" applyProtection="1">
      <alignment horizontal="center" vertical="center" wrapText="1"/>
      <protection locked="0"/>
    </xf>
    <xf numFmtId="0" fontId="26" fillId="11" borderId="14" xfId="0" applyFont="1" applyFill="1" applyBorder="1" applyAlignment="1" applyProtection="1">
      <alignment horizontal="center" vertical="center" wrapText="1"/>
      <protection locked="0"/>
    </xf>
    <xf numFmtId="0" fontId="29" fillId="11" borderId="2" xfId="0" applyFont="1" applyFill="1" applyBorder="1" applyAlignment="1" applyProtection="1">
      <alignment horizontal="center" vertical="center"/>
      <protection locked="0"/>
    </xf>
    <xf numFmtId="0" fontId="29" fillId="11" borderId="3" xfId="0" applyFont="1" applyFill="1" applyBorder="1" applyAlignment="1" applyProtection="1">
      <alignment horizontal="center" vertical="center"/>
      <protection locked="0"/>
    </xf>
    <xf numFmtId="0" fontId="29" fillId="11" borderId="4" xfId="0" applyFont="1" applyFill="1" applyBorder="1" applyAlignment="1" applyProtection="1">
      <alignment horizontal="center" vertical="center"/>
      <protection locked="0"/>
    </xf>
    <xf numFmtId="0" fontId="26" fillId="11" borderId="9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11" borderId="15" xfId="0" applyFont="1" applyFill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28" fillId="0" borderId="14" xfId="0" applyFont="1" applyBorder="1" applyAlignment="1" applyProtection="1">
      <alignment horizontal="center" vertical="center" wrapText="1"/>
      <protection locked="0"/>
    </xf>
    <xf numFmtId="0" fontId="28" fillId="0" borderId="15" xfId="0" applyFont="1" applyBorder="1" applyAlignment="1" applyProtection="1">
      <alignment horizontal="center" vertical="center" wrapText="1"/>
      <protection locked="0"/>
    </xf>
    <xf numFmtId="0" fontId="28" fillId="0" borderId="16" xfId="0" applyFont="1" applyBorder="1" applyAlignment="1" applyProtection="1">
      <alignment horizontal="center" vertical="center" wrapText="1"/>
      <protection locked="0"/>
    </xf>
    <xf numFmtId="0" fontId="22" fillId="11" borderId="9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0" fontId="32" fillId="11" borderId="2" xfId="0" applyFont="1" applyFill="1" applyBorder="1" applyAlignment="1" applyProtection="1">
      <alignment horizontal="center" vertical="center" wrapText="1"/>
      <protection locked="0"/>
    </xf>
    <xf numFmtId="0" fontId="32" fillId="11" borderId="3" xfId="0" applyFont="1" applyFill="1" applyBorder="1" applyAlignment="1" applyProtection="1">
      <alignment horizontal="center" vertical="center" wrapText="1"/>
      <protection locked="0"/>
    </xf>
    <xf numFmtId="0" fontId="32" fillId="11" borderId="4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ECE147A5-159F-48E0-A324-D9C9EF6C967B}"/>
    <cellStyle name="Porcentaje" xfId="2" builtinId="5"/>
  </cellStyles>
  <dxfs count="9"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66"/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3-467E-BA74-48DBAD43A9BF}"/>
            </c:ext>
          </c:extLst>
        </c:ser>
        <c:ser>
          <c:idx val="1"/>
          <c:order val="1"/>
          <c:tx>
            <c:strRef>
              <c:f>'3°A'!$CX$11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3-467E-BA74-48DBAD43A9BF}"/>
            </c:ext>
          </c:extLst>
        </c:ser>
        <c:ser>
          <c:idx val="2"/>
          <c:order val="2"/>
          <c:tx>
            <c:strRef>
              <c:f>'3°A'!$CZ$11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3-467E-BA74-48DBAD43A9BF}"/>
            </c:ext>
          </c:extLst>
        </c:ser>
        <c:ser>
          <c:idx val="3"/>
          <c:order val="3"/>
          <c:tx>
            <c:strRef>
              <c:f>'3°A'!$DB$11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3-467E-BA74-48DBAD43A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PE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8D477-9F2C-4838-9E24-84682679B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46</xdr:col>
      <xdr:colOff>728529</xdr:colOff>
      <xdr:row>0</xdr:row>
      <xdr:rowOff>0</xdr:rowOff>
    </xdr:from>
    <xdr:ext cx="1723121" cy="1513252"/>
    <xdr:pic>
      <xdr:nvPicPr>
        <xdr:cNvPr id="3" name="Imagen 2">
          <a:extLst>
            <a:ext uri="{FF2B5EF4-FFF2-40B4-BE49-F238E27FC236}">
              <a16:creationId xmlns:a16="http://schemas.microsoft.com/office/drawing/2014/main" id="{E8B68777-227E-4471-99AC-FFADE9D7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1329" y="0"/>
          <a:ext cx="1723121" cy="151325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C4EB14-53EC-4FE7-A2F9-FDB4793C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B3D9-5BEE-4AD7-9C58-F55B11091496}">
  <dimension ref="A1:EQ111"/>
  <sheetViews>
    <sheetView tabSelected="1" view="pageBreakPreview" zoomScale="20" zoomScaleNormal="50" zoomScaleSheetLayoutView="20" workbookViewId="0">
      <selection activeCell="D10" sqref="D10:G10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11"/>
      <c r="B1" s="112"/>
      <c r="C1" s="51"/>
      <c r="D1" s="117" t="s">
        &gt;
        <is>
          <t>REGISTRO AUXILIAR DE EVALUACIÓN 2026 - SECUNDARIA</t>
        </is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9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13"/>
      <c r="B2" s="114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13"/>
      <c r="B3" s="114"/>
      <c r="C3" s="47"/>
      <c r="D3" s="120" t="s">
        <v>7</v>
      </c>
      <c r="E3" s="121"/>
      <c r="F3" s="121"/>
      <c r="G3" s="121"/>
      <c r="H3" s="121"/>
      <c r="I3" s="121"/>
      <c r="J3" s="121"/>
      <c r="K3" s="121"/>
      <c r="L3" s="45"/>
      <c r="M3" s="122">
        <is>
          <t>AGROPECUARIO 110 - YURIMAGUAS</t>
        </is>
      </c>
      <c r="N3" s="123"/>
      <c r="O3" s="123"/>
      <c r="P3" s="123"/>
      <c r="Q3" s="123"/>
      <c r="R3" s="123"/>
      <c r="S3" s="123"/>
      <c r="T3" s="123"/>
      <c r="U3" s="123"/>
      <c r="V3" s="123"/>
      <c r="W3" s="124"/>
      <c r="X3" s="46"/>
      <c r="Y3" s="120" t="s">
        &gt;
        <is>
          <t>BIMESTRE</t>
        </is>
      </c>
      <c r="Z3" s="121"/>
      <c r="AA3" s="121"/>
      <c r="AB3" s="121"/>
      <c r="AC3" s="121"/>
      <c r="AD3" s="121"/>
      <c r="AE3" s="121"/>
      <c r="AF3" s="121"/>
      <c r="AG3" s="125"/>
      <c r="AH3" s="126">
        <is>
          <t>BIMESTRE 2</t>
        </is>
      </c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8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13"/>
      <c r="B4" s="114"/>
      <c r="C4" s="47"/>
      <c r="D4" s="120" t="s">
        <v>0</v>
      </c>
      <c r="E4" s="121"/>
      <c r="F4" s="121"/>
      <c r="G4" s="121"/>
      <c r="H4" s="121"/>
      <c r="I4" s="121"/>
      <c r="J4" s="121"/>
      <c r="K4" s="121"/>
      <c r="L4" s="45"/>
      <c r="M4" s="122">
        <is>
          <t>CIENCIA Y TECNOLOGÍA</t>
        </is>
      </c>
      <c r="N4" s="123"/>
      <c r="O4" s="123"/>
      <c r="P4" s="123"/>
      <c r="Q4" s="123"/>
      <c r="R4" s="123"/>
      <c r="S4" s="123"/>
      <c r="T4" s="123"/>
      <c r="U4" s="123"/>
      <c r="V4" s="123"/>
      <c r="W4" s="124"/>
      <c r="X4" s="46"/>
      <c r="Y4" s="120" t="s">
        <v>3</v>
      </c>
      <c r="Z4" s="121"/>
      <c r="AA4" s="121"/>
      <c r="AB4" s="121"/>
      <c r="AC4" s="121"/>
      <c r="AD4" s="121"/>
      <c r="AE4" s="121"/>
      <c r="AF4" s="121"/>
      <c r="AG4" s="125"/>
      <c r="AH4" s="126">
        <is>
          <t>3° GRADO</t>
        </is>
      </c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8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5"/>
      <c r="B5" s="116"/>
      <c r="C5" s="47"/>
      <c r="D5" s="120" t="s">
        <v>8</v>
      </c>
      <c r="E5" s="121"/>
      <c r="F5" s="121"/>
      <c r="G5" s="121"/>
      <c r="H5" s="121"/>
      <c r="I5" s="121"/>
      <c r="J5" s="121"/>
      <c r="K5" s="121"/>
      <c r="L5" s="45"/>
      <c r="M5" s="122">
        <is>
          <t>JULIO CESAR MARTEL VASQUEZ</t>
        </is>
      </c>
      <c r="N5" s="123"/>
      <c r="O5" s="123"/>
      <c r="P5" s="123"/>
      <c r="Q5" s="123"/>
      <c r="R5" s="123"/>
      <c r="S5" s="123"/>
      <c r="T5" s="123"/>
      <c r="U5" s="123"/>
      <c r="V5" s="123"/>
      <c r="W5" s="124"/>
      <c r="X5" s="46"/>
      <c r="Y5" s="120" t="s">
        <v>4</v>
      </c>
      <c r="Z5" s="121"/>
      <c r="AA5" s="121"/>
      <c r="AB5" s="121"/>
      <c r="AC5" s="121"/>
      <c r="AD5" s="121"/>
      <c r="AE5" s="121"/>
      <c r="AF5" s="121"/>
      <c r="AG5" s="125"/>
      <c r="AH5" s="126">
        <is>
          <t>B</t>
        </is>
      </c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8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29" t="s">
        <v>1</v>
      </c>
      <c r="B7" s="132" t="s">
        <v>2</v>
      </c>
      <c r="C7" s="39"/>
      <c r="D7" s="135" t="s">
        <v>74</v>
      </c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7"/>
      <c r="AO7" s="138" t="s">
        <v>5</v>
      </c>
      <c r="AP7" s="139"/>
      <c r="AQ7" s="139"/>
      <c r="AR7" s="139"/>
      <c r="AS7" s="139"/>
      <c r="AT7" s="139"/>
      <c r="AU7" s="140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30"/>
      <c r="B8" s="133"/>
      <c r="C8" s="39"/>
      <c r="D8" s="144" t="str">
        <f>+_xlfn.XLOOKUP($M$4,DV89:DV99,DW89:DW99)</f>
        <v>Indaga mediante métodos científicos para construir conocimientos</v>
      </c>
      <c r="E8" s="145"/>
      <c r="F8" s="145"/>
      <c r="G8" s="145"/>
      <c r="H8" s="145"/>
      <c r="I8" s="145"/>
      <c r="J8" s="145"/>
      <c r="K8" s="145"/>
      <c r="L8" s="146"/>
      <c r="M8" s="144" t="str">
        <f>+_xlfn.XLOOKUP($M$4,DV89:DV99,DX89:DX99)</f>
        <v>Explica el mundo físico basándose en conocimientos sobre los seres vivos...</v>
      </c>
      <c r="N8" s="145"/>
      <c r="O8" s="145"/>
      <c r="P8" s="145"/>
      <c r="Q8" s="145"/>
      <c r="R8" s="145"/>
      <c r="S8" s="145"/>
      <c r="T8" s="145"/>
      <c r="U8" s="146"/>
      <c r="V8" s="144" t="str">
        <f>+_xlfn.XLOOKUP($M$4,DV89:DV99,DY89:DY99)</f>
        <v>Diseña y construye soluciones tecnológicas para resolver problemas de su entorno</v>
      </c>
      <c r="W8" s="145"/>
      <c r="X8" s="145"/>
      <c r="Y8" s="145"/>
      <c r="Z8" s="145"/>
      <c r="AA8" s="145"/>
      <c r="AB8" s="145"/>
      <c r="AC8" s="145"/>
      <c r="AD8" s="146"/>
      <c r="AE8" s="151" t="str">
        <f>+_xlfn.XLOOKUP($M$4,DV89:DV99,DZ89:DZ99)</f>
        <v xml:space="preserve"> - -</v>
      </c>
      <c r="AF8" s="152"/>
      <c r="AG8" s="152"/>
      <c r="AH8" s="152"/>
      <c r="AI8" s="152"/>
      <c r="AJ8" s="152"/>
      <c r="AK8" s="152"/>
      <c r="AL8" s="152"/>
      <c r="AM8" s="153"/>
      <c r="AN8" s="40"/>
      <c r="AO8" s="141"/>
      <c r="AP8" s="142"/>
      <c r="AQ8" s="142"/>
      <c r="AR8" s="142"/>
      <c r="AS8" s="142"/>
      <c r="AT8" s="142"/>
      <c r="AU8" s="143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30"/>
      <c r="B9" s="133"/>
      <c r="C9" s="39"/>
      <c r="D9" s="154" t="s">
        <v>73</v>
      </c>
      <c r="E9" s="155"/>
      <c r="F9" s="155"/>
      <c r="G9" s="155"/>
      <c r="H9" s="155"/>
      <c r="I9" s="155"/>
      <c r="J9" s="155"/>
      <c r="K9" s="156"/>
      <c r="L9" s="107" t="s">
        <v>67</v>
      </c>
      <c r="M9" s="154" t="s">
        <v>73</v>
      </c>
      <c r="N9" s="155"/>
      <c r="O9" s="155"/>
      <c r="P9" s="155"/>
      <c r="Q9" s="155"/>
      <c r="R9" s="155"/>
      <c r="S9" s="155"/>
      <c r="T9" s="156"/>
      <c r="U9" s="107" t="s">
        <v>67</v>
      </c>
      <c r="V9" s="154" t="s">
        <v>73</v>
      </c>
      <c r="W9" s="155"/>
      <c r="X9" s="155"/>
      <c r="Y9" s="155"/>
      <c r="Z9" s="155"/>
      <c r="AA9" s="155"/>
      <c r="AB9" s="155"/>
      <c r="AC9" s="156"/>
      <c r="AD9" s="107" t="s">
        <v>67</v>
      </c>
      <c r="AE9" s="154" t="s">
        <v>73</v>
      </c>
      <c r="AF9" s="155"/>
      <c r="AG9" s="155"/>
      <c r="AH9" s="155"/>
      <c r="AI9" s="155"/>
      <c r="AJ9" s="155"/>
      <c r="AK9" s="155"/>
      <c r="AL9" s="156"/>
      <c r="AM9" s="107" t="s">
        <v>67</v>
      </c>
      <c r="AN9" s="38"/>
      <c r="AO9" s="109" t="s">
        <v>68</v>
      </c>
      <c r="AP9" s="109" t="s">
        <v>69</v>
      </c>
      <c r="AQ9" s="109" t="s">
        <v>70</v>
      </c>
      <c r="AR9" s="109" t="s">
        <v>71</v>
      </c>
      <c r="AS9" s="85" t="s">
        <v>66</v>
      </c>
      <c r="AT9" s="147" t="s">
        <v>23</v>
      </c>
      <c r="AU9" s="148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31"/>
      <c r="B10" s="134"/>
      <c r="C10" s="39"/>
      <c r="D10" s="74">
        <is>
          <t>Criterio 1</t>
        </is>
      </c>
      <c r="E10" s="75">
        <is>
          <t>Criterio 2</t>
        </is>
      </c>
      <c r="F10" s="75">
        <is>
          <t>Criterio 3</t>
        </is>
      </c>
      <c r="G10" s="75">
        <is>
          <t>Criterio 4</t>
        </is>
      </c>
      <c r="H10" s="64"/>
      <c r="I10" s="64"/>
      <c r="J10" s="65"/>
      <c r="K10" s="62" t="s">
        <v>12</v>
      </c>
      <c r="L10" s="108"/>
      <c r="M10" s="74">
        <is>
          <t>Criterio 1</t>
        </is>
      </c>
      <c r="N10" s="75">
        <is>
          <t>Criterio 2</t>
        </is>
      </c>
      <c r="O10" s="75">
        <is>
          <t>Criterio 3</t>
        </is>
      </c>
      <c r="P10" s="75">
        <is>
          <t>Criterio 4</t>
        </is>
      </c>
      <c r="Q10" s="64"/>
      <c r="R10" s="64"/>
      <c r="S10" s="65"/>
      <c r="T10" s="62" t="s">
        <v>12</v>
      </c>
      <c r="U10" s="108"/>
      <c r="V10" s="74">
        <is>
          <t>Criterio 1</t>
        </is>
      </c>
      <c r="W10" s="75">
        <is>
          <t>Criterio 2</t>
        </is>
      </c>
      <c r="X10" s="75">
        <is>
          <t>Criterio 3</t>
        </is>
      </c>
      <c r="Y10" s="75">
        <is>
          <t>Criterio 4</t>
        </is>
      </c>
      <c r="Z10" s="64"/>
      <c r="AA10" s="64"/>
      <c r="AB10" s="65"/>
      <c r="AC10" s="62" t="s">
        <v>12</v>
      </c>
      <c r="AD10" s="108"/>
      <c r="AE10" s="63"/>
      <c r="AF10" s="64"/>
      <c r="AG10" s="64"/>
      <c r="AH10" s="64"/>
      <c r="AI10" s="64"/>
      <c r="AJ10" s="64"/>
      <c r="AK10" s="65"/>
      <c r="AL10" s="62" t="s">
        <v>12</v>
      </c>
      <c r="AM10" s="108"/>
      <c r="AN10" s="38"/>
      <c r="AO10" s="110"/>
      <c r="AP10" s="110"/>
      <c r="AQ10" s="110"/>
      <c r="AR10" s="110"/>
      <c r="AS10" s="86"/>
      <c r="AT10" s="149"/>
      <c r="AU10" s="150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2">
        <is>
          <t>ARIRAMA CURITIMA, LLILMER</t>
        </is>
      </c>
      <c r="C11" s="35"/>
      <c r="D11" s="7">
        <is>
          <t>C</t>
        </is>
      </c>
      <c r="E11" s="8">
        <is>
          <t/>
        </is>
      </c>
      <c r="F11" s="8">
        <is>
          <t/>
        </is>
      </c>
      <c r="G11" s="8">
        <is>
          <t/>
        </is>
      </c>
      <c r="H11" s="8"/>
      <c r="I11" s="8"/>
      <c r="J11" s="9"/>
      <c r="K11" s="60" t="str">
        <v>C</v>
      </c>
      <c r="L11" s="67">
        <is>
          <t>No logra realizar las actividades propuestas.</t>
        </is>
      </c>
      <c r="M11" s="7">
        <is>
          <t>A</t>
        </is>
      </c>
      <c r="N11" s="8">
        <is>
          <t>B</t>
        </is>
      </c>
      <c r="O11" s="8">
        <is>
          <t>A</t>
        </is>
      </c>
      <c r="P11" s="8">
        <is>
          <t/>
        </is>
      </c>
      <c r="Q11" s="8"/>
      <c r="R11" s="8"/>
      <c r="S11" s="9"/>
      <c r="T11" s="60" t="str">
        <v>A</v>
      </c>
      <c r="U11" s="67">
        <is>
          <t>Logra realizar las actividades propuestas de manera satisfactoria.</t>
        </is>
      </c>
      <c r="V11" s="7">
        <is>
          <t>B</t>
        </is>
      </c>
      <c r="W11" s="8">
        <is>
          <t>C</t>
        </is>
      </c>
      <c r="X11" s="8">
        <is>
          <t/>
        </is>
      </c>
      <c r="Y11" s="8">
        <is>
          <t/>
        </is>
      </c>
      <c r="Z11" s="8"/>
      <c r="AA11" s="8"/>
      <c r="AB11" s="9"/>
      <c r="AC11" s="60" t="str">
        <v>B</v>
      </c>
      <c r="AD11" s="67">
        <is>
          <t>Presenta dificultades para realizar las actividades propuestas.</t>
        </is>
      </c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93"/>
      <c r="AU11" s="94"/>
      <c r="AV11" s="31"/>
      <c r="AW11" s="30">
        <f t="shared" ref="AW11:BC45" si="8">+IF(D11="","",IF(D11="AD",4,IF(D11="A",3,IF(D11="B",2,IF(D11="C",1)))))</f>
        <v/>
      </c>
      <c r="AX11" s="30">
        <f t="shared" si="8"/>
        <v/>
      </c>
      <c r="AY11" s="30">
        <f t="shared" si="8"/>
        <v/>
      </c>
      <c r="AZ11" s="30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>
        <f t="shared" ref="BD11:BD50" si="9">+ROUND(AVERAGE(AW11:BC11),0)</f>
        <v/>
      </c>
      <c r="BE11" s="26"/>
      <c r="BF11" s="28">
        <f t="shared" ref="BF11:BL45" si="10">+IF(M11="","",IF(M11="AD",4,IF(M11="A",3,IF(M11="B",2,IF(M11="C",1)))))</f>
        <v/>
      </c>
      <c r="BG11" s="28">
        <f t="shared" si="10"/>
        <v/>
      </c>
      <c r="BH11" s="28">
        <f t="shared" si="10"/>
        <v/>
      </c>
      <c r="BI11" s="28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>
        <f t="shared" ref="BM11:BM50" si="11">+ROUND(AVERAGE(BF11:BL11),0)</f>
        <v/>
      </c>
      <c r="BN11" s="26"/>
      <c r="BO11" s="28">
        <f t="shared" ref="BO11:BU45" si="12">+IF(V11="","",IF(V11="AD",4,IF(V11="A",3,IF(V11="B",2,IF(V11="C",1)))))</f>
        <v/>
      </c>
      <c r="BP11" s="28">
        <f t="shared" si="12"/>
        <v/>
      </c>
      <c r="BQ11" s="28">
        <f t="shared" si="12"/>
        <v/>
      </c>
      <c r="BR11" s="28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>
        <f t="shared" ref="BV11:BV50" si="13">+ROUND(AVERAGE(BO11:BU11),0)</f>
        <v/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/>
      </c>
      <c r="CF11" s="26"/>
      <c r="CG11" s="28">
        <f t="shared" ref="CG11:CG50" si="16">+BD11</f>
        <v/>
      </c>
      <c r="CH11" s="28">
        <f>+BM11</f>
        <v/>
      </c>
      <c r="CI11" s="28">
        <f t="shared" ref="CI11:CI50" si="17">+BV11</f>
        <v/>
      </c>
      <c r="CJ11" s="28" t="e">
        <f t="shared" ref="CJ11:CJ50" si="18">+CE11</f>
        <v/>
      </c>
      <c r="CK11" s="27" t="e">
        <f t="shared" ref="CK11:CK50" si="19">+ROUND(AVERAGE(CG11:CJ11),0)</f>
        <v/>
      </c>
      <c r="CL11" s="26"/>
      <c r="CM11" s="26"/>
      <c r="CN11" s="26"/>
      <c r="CO11" s="95" t="str">
        <f>+CONCATENATE(M4," - ",AH4," ",AH5," - ", Y3," ",AH3)</f>
        <v/>
      </c>
      <c r="CP11" s="96"/>
      <c r="CQ11" s="96"/>
      <c r="CR11" s="96"/>
      <c r="CS11" s="96"/>
      <c r="CT11" s="97"/>
      <c r="CU11" s="36" t="s">
        <v/>
      </c>
      <c r="CV11" s="104" t="s">
        <v/>
      </c>
      <c r="CW11" s="104"/>
      <c r="CX11" s="105" t="s">
        <v/>
      </c>
      <c r="CY11" s="105"/>
      <c r="CZ11" s="106" t="s">
        <v/>
      </c>
      <c r="DA11" s="106"/>
      <c r="DB11" s="81" t="s">
        <v/>
      </c>
      <c r="DC11" s="81"/>
      <c r="DD11" s="87" t="s">
        <v/>
      </c>
      <c r="DE11" s="87"/>
      <c r="DF11" s="87"/>
      <c r="DG11" s="88" t="s">
        <v/>
      </c>
      <c r="DH11" s="88"/>
      <c r="DI11" s="88"/>
      <c r="DJ11" s="88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2">
        <is>
          <t>BARDALES PÉREZ MATHÍAS JESÚS</t>
        </is>
      </c>
      <c r="C12" s="35"/>
      <c r="D12" s="11">
        <is>
          <t>B</t>
        </is>
      </c>
      <c r="E12" s="12">
        <is>
          <t/>
        </is>
      </c>
      <c r="F12" s="12">
        <is>
          <t/>
        </is>
      </c>
      <c r="G12" s="12">
        <is>
          <t/>
        </is>
      </c>
      <c r="H12" s="12"/>
      <c r="I12" s="12"/>
      <c r="J12" s="59"/>
      <c r="K12" s="61" t="str">
        <v>B</v>
      </c>
      <c r="CI12" s="28">
        <f t="shared" si="17"/>
        <v/>
      </c>
      <c r="CJ12" s="28" t="e">
        <f t="shared" si="18"/>
        <v/>
      </c>
      <c r="CK12" s="27" t="e">
        <f t="shared" si="19"/>
        <v/>
      </c>
      <c r="CL12" s="26"/>
      <c r="CM12" s="26"/>
      <c r="CN12" s="26"/>
      <c r="CO12" s="98"/>
      <c r="CP12" s="99"/>
      <c r="CQ12" s="99"/>
      <c r="CR12" s="99"/>
      <c r="CS12" s="99"/>
      <c r="CT12" s="100"/>
      <c r="CU12" s="89" t="s">
        <v/>
      </c>
      <c r="CV12" s="90">
        <f>+COUNTIF($AS$11:$AS$50,"AD")</f>
        <v/>
      </c>
      <c r="CW12" s="90"/>
      <c r="CX12" s="90">
        <f>+COUNTIF($AS$11:$AS$50,"A")</f>
        <v/>
      </c>
      <c r="CY12" s="90"/>
      <c r="CZ12" s="90">
        <f>+COUNTIF($AS$11:$AS$50,"B")</f>
        <v/>
      </c>
      <c r="DA12" s="90"/>
      <c r="DB12" s="90">
        <f>+COUNTIF($AS$11:$AS$50,"C")</f>
        <v/>
      </c>
      <c r="DC12" s="90"/>
      <c r="DD12" s="91">
        <v/>
      </c>
      <c r="DE12" s="91"/>
      <c r="DF12" s="91"/>
      <c r="DG12" s="92">
        <f>+SUM(CV12:DF12)</f>
        <v/>
      </c>
      <c r="DH12" s="92"/>
      <c r="DI12" s="92"/>
      <c r="DJ12" s="92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2">
        <is>
          <t>CAINAMRI DEL CASTILLO, KELSI LLULISA</t>
        </is>
      </c>
      <c r="C13" s="35"/>
      <c r="D13" s="11">
        <is>
          <t>B</t>
        </is>
      </c>
      <c r="E13" s="12">
        <is>
          <t/>
        </is>
      </c>
      <c r="F13" s="12">
        <is>
          <t/>
        </is>
      </c>
      <c r="G13" s="12">
        <is>
          <t/>
        </is>
      </c>
      <c r="H13" s="12"/>
      <c r="I13" s="12"/>
      <c r="J13" s="59"/>
      <c r="K13" s="61" t="str">
        <v>B</v>
      </c>
      <c r="CW13" s="82"/>
      <c r="CX13" s="82" t="e">
        <f>+CX12/$DG$12</f>
        <v/>
      </c>
      <c r="CY13" s="82"/>
      <c r="CZ13" s="82" t="e">
        <f>+CZ12/$DG$12</f>
        <v/>
      </c>
      <c r="DA13" s="82"/>
      <c r="DB13" s="82" t="e">
        <f>+DB12/$DG$12</f>
        <v/>
      </c>
      <c r="DC13" s="82"/>
      <c r="DD13" s="82" t="e">
        <f>+DD12/$DG$12</f>
        <v/>
      </c>
      <c r="DE13" s="82"/>
      <c r="DF13" s="82"/>
      <c r="DG13" s="83" t="e">
        <f>+SUM(CV13:DF13)</f>
        <v/>
      </c>
      <c r="DH13" s="84"/>
      <c r="DI13" s="84"/>
      <c r="DJ13" s="84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2">
        <is>
          <t>CÁRDENAS BARRERA OSKAR ALBERTHO</t>
        </is>
      </c>
      <c r="C14" s="35"/>
      <c r="D14" s="11">
        <is>
          <t>C</t>
        </is>
      </c>
      <c r="E14" s="12">
        <is>
          <t/>
        </is>
      </c>
      <c r="F14" s="12">
        <is>
          <t/>
        </is>
      </c>
      <c r="G14" s="12">
        <is>
          <t/>
        </is>
      </c>
      <c r="H14" s="12"/>
      <c r="I14" s="12"/>
      <c r="J14" s="13"/>
      <c r="K14" s="61" t="str">
        <f t="shared" si="0"/>
        <v/>
      </c>
      <c r="L14" s="66">
        <is>
          <t>No logra realizar las actividades propuestas.</t>
        </is>
      </c>
      <c r="M14" s="11">
        <is>
          <t>B</t>
        </is>
      </c>
      <c r="N14" s="12">
        <is>
          <t>A</t>
        </is>
      </c>
      <c r="O14" s="12">
        <is>
          <t>A</t>
        </is>
      </c>
      <c r="P14" s="12">
        <is>
          <t>B</t>
        </is>
      </c>
      <c r="Q14" s="12"/>
      <c r="R14" s="12"/>
      <c r="S14" s="13"/>
      <c r="T14" s="61" t="str">
        <f t="shared" si="1"/>
        <v/>
      </c>
      <c r="U14" s="66">
        <is>
          <t>Logra realizar las actividades propuestas de manera satisfactoria.</t>
        </is>
      </c>
      <c r="V14" s="11">
        <is>
          <t>B</t>
        </is>
      </c>
      <c r="W14" s="12">
        <is>
          <t>C</t>
        </is>
      </c>
      <c r="X14" s="12">
        <is>
          <t/>
        </is>
      </c>
      <c r="Y14" s="12">
        <is>
          <t/>
        </is>
      </c>
      <c r="Z14" s="12"/>
      <c r="AA14" s="12"/>
      <c r="AB14" s="13"/>
      <c r="AC14" s="61" t="str">
        <f t="shared" si="2"/>
        <v/>
      </c>
      <c r="AD14" s="66">
        <is>
          <t>Presenta dificultades para realizar las actividades propuestas.</t>
        </is>
      </c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9"/>
      <c r="AU14" s="80"/>
      <c r="AV14" s="31"/>
      <c r="AW14" s="30">
        <f t="shared" si="8"/>
        <v/>
      </c>
      <c r="AX14" s="30">
        <f t="shared" si="8"/>
        <v/>
      </c>
      <c r="AY14" s="30">
        <f t="shared" si="8"/>
        <v/>
      </c>
      <c r="AZ14" s="30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>
        <f t="shared" si="9"/>
        <v/>
      </c>
      <c r="BE14" s="26"/>
      <c r="BF14" s="28">
        <f t="shared" si="10"/>
        <v/>
      </c>
      <c r="BG14" s="28">
        <f t="shared" si="10"/>
        <v/>
      </c>
      <c r="BH14" s="28">
        <f t="shared" si="10"/>
        <v/>
      </c>
      <c r="BI14" s="28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>
        <f t="shared" si="11"/>
        <v/>
      </c>
      <c r="BN14" s="26"/>
      <c r="BO14" s="28">
        <f t="shared" si="12"/>
        <v/>
      </c>
      <c r="BP14" s="28">
        <f t="shared" si="12"/>
        <v/>
      </c>
      <c r="BQ14" s="28">
        <f t="shared" si="12"/>
        <v/>
      </c>
      <c r="BR14" s="28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>
        <f t="shared" si="13"/>
        <v/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/>
      </c>
      <c r="CF14" s="26"/>
      <c r="CG14" s="28">
        <f t="shared" si="16"/>
        <v/>
      </c>
      <c r="CH14" s="28">
        <f t="shared" si="21"/>
        <v/>
      </c>
      <c r="CI14" s="28">
        <f t="shared" si="17"/>
        <v/>
      </c>
      <c r="CJ14" s="28" t="e">
        <f t="shared" si="18"/>
        <v/>
      </c>
      <c r="CK14" s="27" t="e">
        <f t="shared" si="19"/>
        <v/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2">
        <is>
          <t>CHASNAMOTE FLORES, XIANNA MARLENY</t>
        </is>
      </c>
      <c r="C15" s="35"/>
      <c r="D15" s="11">
        <is>
          <t>B</t>
        </is>
      </c>
      <c r="E15" s="12">
        <is>
          <t/>
        </is>
      </c>
      <c r="F15" s="12">
        <is>
          <t/>
        </is>
      </c>
      <c r="G15" s="12">
        <is>
          <t/>
        </is>
      </c>
      <c r="H15" s="12"/>
      <c r="I15" s="12"/>
      <c r="J15" s="13"/>
      <c r="K15" s="61" t="str">
        <f t="shared" si="0"/>
        <v/>
      </c>
      <c r="L15" s="66">
        <is>
          <t>Presenta dificultades para realizar las actividades propuestas.</t>
        </is>
      </c>
      <c r="M15" s="11">
        <is>
          <t>A</t>
        </is>
      </c>
      <c r="N15" s="12">
        <is>
          <t>A</t>
        </is>
      </c>
      <c r="O15" s="12">
        <is>
          <t>B</t>
        </is>
      </c>
      <c r="P15" s="12">
        <is>
          <t/>
        </is>
      </c>
      <c r="Q15" s="12"/>
      <c r="R15" s="12"/>
      <c r="S15" s="13"/>
      <c r="T15" s="61" t="str">
        <f t="shared" si="1"/>
        <v/>
      </c>
      <c r="U15" s="66">
        <is>
          <t>Logra realizar las actividades propuestas de manera satisfactoria.</t>
        </is>
      </c>
      <c r="V15" s="11">
        <is>
          <t>A</t>
        </is>
      </c>
      <c r="W15" s="12">
        <is>
          <t>B</t>
        </is>
      </c>
      <c r="X15" s="12">
        <is>
          <t/>
        </is>
      </c>
      <c r="Y15" s="12">
        <is>
          <t/>
        </is>
      </c>
      <c r="Z15" s="12"/>
      <c r="AA15" s="12"/>
      <c r="AB15" s="13"/>
      <c r="AC15" s="61" t="str">
        <f t="shared" si="2"/>
        <v/>
      </c>
      <c r="AD15" s="66">
        <is>
          <t>Logra realizar las actividades propuestas de manera satisfactoria.</t>
        </is>
      </c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9"/>
      <c r="AU15" s="80"/>
      <c r="AV15" s="31"/>
      <c r="AW15" s="30">
        <f t="shared" si="8"/>
        <v/>
      </c>
      <c r="AX15" s="30">
        <f t="shared" si="8"/>
        <v/>
      </c>
      <c r="AY15" s="30">
        <f t="shared" si="8"/>
        <v/>
      </c>
      <c r="AZ15" s="30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>
        <f t="shared" si="9"/>
        <v/>
      </c>
      <c r="BE15" s="26"/>
      <c r="BF15" s="28">
        <f t="shared" si="10"/>
        <v/>
      </c>
      <c r="BG15" s="28">
        <f t="shared" si="10"/>
        <v/>
      </c>
      <c r="BH15" s="28">
        <f t="shared" si="10"/>
        <v/>
      </c>
      <c r="BI15" s="28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>
        <f t="shared" si="11"/>
        <v/>
      </c>
      <c r="BN15" s="26"/>
      <c r="BO15" s="28">
        <f t="shared" si="12"/>
        <v/>
      </c>
      <c r="BP15" s="28">
        <f t="shared" si="12"/>
        <v/>
      </c>
      <c r="BQ15" s="28">
        <f t="shared" si="12"/>
        <v/>
      </c>
      <c r="BR15" s="28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>
        <f t="shared" si="13"/>
        <v/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/>
      </c>
      <c r="CF15" s="26"/>
      <c r="CG15" s="28">
        <f t="shared" si="16"/>
        <v/>
      </c>
      <c r="CH15" s="28">
        <f t="shared" si="21"/>
        <v/>
      </c>
      <c r="CI15" s="28">
        <f t="shared" si="17"/>
        <v/>
      </c>
      <c r="CJ15" s="28" t="e">
        <f t="shared" si="18"/>
        <v/>
      </c>
      <c r="CK15" s="27" t="e">
        <f t="shared" si="19"/>
        <v/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2">
        <is>
          <t>DÁVILA AMASIFUEN DAVID JANLETH</t>
        </is>
      </c>
      <c r="C16" s="35"/>
      <c r="D16" s="11">
        <is>
          <t>B</t>
        </is>
      </c>
      <c r="E16" s="12">
        <is>
          <t/>
        </is>
      </c>
      <c r="F16" s="12">
        <is>
          <t/>
        </is>
      </c>
      <c r="G16" s="12">
        <is>
          <t/>
        </is>
      </c>
      <c r="H16" s="12"/>
      <c r="I16" s="12"/>
      <c r="J16" s="13"/>
      <c r="K16" s="61" t="str">
        <f t="shared" si="0"/>
        <v/>
      </c>
      <c r="L16" s="66">
        <is>
          <t>Presenta dificultades para realizar las actividades propuestas.</t>
        </is>
      </c>
      <c r="M16" s="11">
        <is>
          <t>B</t>
        </is>
      </c>
      <c r="N16" s="12">
        <is>
          <t>A</t>
        </is>
      </c>
      <c r="O16" s="12">
        <is>
          <t>B</t>
        </is>
      </c>
      <c r="P16" s="12">
        <is>
          <t>B</t>
        </is>
      </c>
      <c r="Q16" s="12"/>
      <c r="R16" s="12"/>
      <c r="S16" s="13"/>
      <c r="T16" s="61" t="str">
        <f t="shared" si="1"/>
        <v/>
      </c>
      <c r="U16" s="66">
        <is>
          <t>Presenta dificultades para realizar las actividades propuestas.</t>
        </is>
      </c>
      <c r="V16" s="11">
        <is>
          <t>B</t>
        </is>
      </c>
      <c r="W16" s="12">
        <is>
          <t>B</t>
        </is>
      </c>
      <c r="X16" s="12">
        <is>
          <t/>
        </is>
      </c>
      <c r="Y16" s="12">
        <is>
          <t/>
        </is>
      </c>
      <c r="Z16" s="12"/>
      <c r="AA16" s="12"/>
      <c r="AB16" s="13"/>
      <c r="AC16" s="61" t="str">
        <f t="shared" si="2"/>
        <v/>
      </c>
      <c r="AD16" s="66">
        <is>
          <t>Presenta dificultades para realizar las actividades propuestas.</t>
        </is>
      </c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9"/>
      <c r="AU16" s="80"/>
      <c r="AV16" s="31"/>
      <c r="AW16" s="30">
        <f t="shared" si="8"/>
        <v/>
      </c>
      <c r="AX16" s="30">
        <f t="shared" si="8"/>
        <v/>
      </c>
      <c r="AY16" s="30">
        <f t="shared" si="8"/>
        <v/>
      </c>
      <c r="AZ16" s="30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>
        <f t="shared" si="9"/>
        <v/>
      </c>
      <c r="BE16" s="26"/>
      <c r="BF16" s="28">
        <f t="shared" si="10"/>
        <v/>
      </c>
      <c r="BG16" s="28">
        <f t="shared" si="10"/>
        <v/>
      </c>
      <c r="BH16" s="28">
        <f t="shared" si="10"/>
        <v/>
      </c>
      <c r="BI16" s="28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>
        <f t="shared" si="11"/>
        <v/>
      </c>
      <c r="BN16" s="26"/>
      <c r="BO16" s="28">
        <f t="shared" si="12"/>
        <v/>
      </c>
      <c r="BP16" s="28">
        <f t="shared" si="12"/>
        <v/>
      </c>
      <c r="BQ16" s="28">
        <f t="shared" si="12"/>
        <v/>
      </c>
      <c r="BR16" s="28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>
        <f t="shared" si="13"/>
        <v/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/>
      </c>
      <c r="CF16" s="26"/>
      <c r="CG16" s="28">
        <f t="shared" si="16"/>
        <v/>
      </c>
      <c r="CH16" s="28">
        <f t="shared" si="21"/>
        <v/>
      </c>
      <c r="CI16" s="28">
        <f t="shared" si="17"/>
        <v/>
      </c>
      <c r="CJ16" s="28" t="e">
        <f t="shared" si="18"/>
        <v/>
      </c>
      <c r="CK16" s="27" t="e">
        <f t="shared" si="19"/>
        <v/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2">
        <is>
          <t>GUERRA YUMBATO, MARELYN DAYANA</t>
        </is>
      </c>
      <c r="C17" s="35"/>
      <c r="D17" s="11">
        <is>
          <t>B</t>
        </is>
      </c>
      <c r="E17" s="12">
        <is>
          <t/>
        </is>
      </c>
      <c r="F17" s="12">
        <is>
          <t/>
        </is>
      </c>
      <c r="G17" s="12">
        <is>
          <t/>
        </is>
      </c>
      <c r="H17" s="12"/>
      <c r="I17" s="12"/>
      <c r="J17" s="13"/>
      <c r="K17" s="61" t="str">
        <f t="shared" si="0"/>
        <v/>
      </c>
      <c r="L17" s="66">
        <is>
          <t>Presenta dificultades para realizar las actividades propuestas.</t>
        </is>
      </c>
      <c r="M17" s="11">
        <is>
          <t>B</t>
        </is>
      </c>
      <c r="N17" s="12">
        <is>
          <t>A</t>
        </is>
      </c>
      <c r="O17" s="12">
        <is>
          <t>A</t>
        </is>
      </c>
      <c r="P17" s="12">
        <is>
          <t>B</t>
        </is>
      </c>
      <c r="Q17" s="12"/>
      <c r="R17" s="12"/>
      <c r="S17" s="13"/>
      <c r="T17" s="61" t="str">
        <f t="shared" si="1"/>
        <v/>
      </c>
      <c r="U17" s="66">
        <is>
          <t>Logra realizar las actividades propuestas de manera satisfactoria.</t>
        </is>
      </c>
      <c r="V17" s="11">
        <is>
          <t>B</t>
        </is>
      </c>
      <c r="W17" s="12">
        <is>
          <t>B</t>
        </is>
      </c>
      <c r="X17" s="12">
        <is>
          <t/>
        </is>
      </c>
      <c r="Y17" s="12">
        <is>
          <t/>
        </is>
      </c>
      <c r="Z17" s="12"/>
      <c r="AA17" s="12"/>
      <c r="AB17" s="13"/>
      <c r="AC17" s="61" t="str">
        <f t="shared" si="2"/>
        <v/>
      </c>
      <c r="AD17" s="66">
        <is>
          <t>Presenta dificultades para realizar las actividades propuestas.</t>
        </is>
      </c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9"/>
      <c r="AU17" s="80"/>
      <c r="AV17" s="31"/>
      <c r="AW17" s="30">
        <f t="shared" si="8"/>
        <v/>
      </c>
      <c r="AX17" s="30">
        <f t="shared" si="8"/>
        <v/>
      </c>
      <c r="AY17" s="30">
        <f t="shared" si="8"/>
        <v/>
      </c>
      <c r="AZ17" s="30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>
        <f t="shared" si="9"/>
        <v/>
      </c>
      <c r="BE17" s="26"/>
      <c r="BF17" s="28">
        <f t="shared" si="10"/>
        <v/>
      </c>
      <c r="BG17" s="28">
        <f t="shared" si="10"/>
        <v/>
      </c>
      <c r="BH17" s="28">
        <f t="shared" si="10"/>
        <v/>
      </c>
      <c r="BI17" s="28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>
        <f t="shared" si="11"/>
        <v/>
      </c>
      <c r="BN17" s="26"/>
      <c r="BO17" s="28">
        <f t="shared" si="12"/>
        <v/>
      </c>
      <c r="BP17" s="28">
        <f t="shared" si="12"/>
        <v/>
      </c>
      <c r="BQ17" s="28">
        <f t="shared" si="12"/>
        <v/>
      </c>
      <c r="BR17" s="28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>
        <f t="shared" si="13"/>
        <v/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/>
      </c>
      <c r="CF17" s="26"/>
      <c r="CG17" s="28">
        <f t="shared" si="16"/>
        <v/>
      </c>
      <c r="CH17" s="28">
        <f t="shared" si="21"/>
        <v/>
      </c>
      <c r="CI17" s="28">
        <f t="shared" si="17"/>
        <v/>
      </c>
      <c r="CJ17" s="28" t="e">
        <f t="shared" si="18"/>
        <v/>
      </c>
      <c r="CK17" s="27" t="e">
        <f t="shared" si="19"/>
        <v/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2">
        <is>
          <t>HIDALGO TAMANI JENS CEIL</t>
        </is>
      </c>
      <c r="C18" s="35"/>
      <c r="D18" s="11">
        <is>
          <t>B</t>
        </is>
      </c>
      <c r="E18" s="12">
        <is>
          <t/>
        </is>
      </c>
      <c r="F18" s="12">
        <is>
          <t/>
        </is>
      </c>
      <c r="G18" s="12">
        <is>
          <t/>
        </is>
      </c>
      <c r="H18" s="12"/>
      <c r="I18" s="12"/>
      <c r="J18" s="13"/>
      <c r="K18" s="61" t="str">
        <f t="shared" si="0"/>
        <v/>
      </c>
      <c r="L18" s="66">
        <is>
          <t>Presenta dificultades para realizar las actividades propuestas.</t>
        </is>
      </c>
      <c r="M18" s="11">
        <is>
          <t>A</t>
        </is>
      </c>
      <c r="N18" s="12">
        <is>
          <t>C</t>
        </is>
      </c>
      <c r="O18" s="12">
        <is>
          <t>A</t>
        </is>
      </c>
      <c r="P18" s="12">
        <is>
          <t>C</t>
        </is>
      </c>
      <c r="Q18" s="12"/>
      <c r="R18" s="12"/>
      <c r="S18" s="13"/>
      <c r="T18" s="61" t="str">
        <f t="shared" si="1"/>
        <v/>
      </c>
      <c r="U18" s="66">
        <is>
          <t>Presenta dificultades para realizar las actividades propuestas.</t>
        </is>
      </c>
      <c r="V18" s="11">
        <is>
          <t>B</t>
        </is>
      </c>
      <c r="W18" s="12">
        <is>
          <t>C</t>
        </is>
      </c>
      <c r="X18" s="12">
        <is>
          <t/>
        </is>
      </c>
      <c r="Y18" s="12">
        <is>
          <t/>
        </is>
      </c>
      <c r="Z18" s="12"/>
      <c r="AA18" s="12"/>
      <c r="AB18" s="13"/>
      <c r="AC18" s="61" t="str">
        <f t="shared" si="2"/>
        <v/>
      </c>
      <c r="AD18" s="66">
        <is>
          <t>Presenta dificultades para realizar las actividades propuestas.</t>
        </is>
      </c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9"/>
      <c r="AU18" s="80"/>
      <c r="AV18" s="31"/>
      <c r="AW18" s="30">
        <f t="shared" si="8"/>
        <v/>
      </c>
      <c r="AX18" s="30">
        <f t="shared" si="8"/>
        <v/>
      </c>
      <c r="AY18" s="30">
        <f t="shared" si="8"/>
        <v/>
      </c>
      <c r="AZ18" s="30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>
        <f t="shared" si="9"/>
        <v/>
      </c>
      <c r="BE18" s="26"/>
      <c r="BF18" s="28">
        <f t="shared" si="10"/>
        <v/>
      </c>
      <c r="BG18" s="28">
        <f t="shared" si="10"/>
        <v/>
      </c>
      <c r="BH18" s="28">
        <f t="shared" si="10"/>
        <v/>
      </c>
      <c r="BI18" s="28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>
        <f t="shared" si="11"/>
        <v/>
      </c>
      <c r="BN18" s="26"/>
      <c r="BO18" s="28">
        <f t="shared" si="12"/>
        <v/>
      </c>
      <c r="BP18" s="28">
        <f t="shared" si="12"/>
        <v/>
      </c>
      <c r="BQ18" s="28">
        <f t="shared" si="12"/>
        <v/>
      </c>
      <c r="BR18" s="28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>
        <f t="shared" si="13"/>
        <v/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/>
      </c>
      <c r="CF18" s="26"/>
      <c r="CG18" s="28">
        <f t="shared" si="16"/>
        <v/>
      </c>
      <c r="CH18" s="28">
        <f t="shared" si="21"/>
        <v/>
      </c>
      <c r="CI18" s="28">
        <f t="shared" si="17"/>
        <v/>
      </c>
      <c r="CJ18" s="28" t="e">
        <f t="shared" si="18"/>
        <v/>
      </c>
      <c r="CK18" s="27" t="e">
        <f t="shared" si="19"/>
        <v/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2">
        <is>
          <t>LOPEZ TIHUAYRO, DILAN MATHIAS</t>
        </is>
      </c>
      <c r="C19" s="35"/>
      <c r="D19" s="11">
        <is>
          <t>C</t>
        </is>
      </c>
      <c r="E19" s="12">
        <is>
          <t/>
        </is>
      </c>
      <c r="F19" s="12">
        <is>
          <t/>
        </is>
      </c>
      <c r="G19" s="12">
        <is>
          <t/>
        </is>
      </c>
      <c r="H19" s="12"/>
      <c r="I19" s="12"/>
      <c r="J19" s="13"/>
      <c r="K19" s="61" t="str">
        <f t="shared" si="0"/>
        <v/>
      </c>
      <c r="L19" s="66">
        <is>
          <t>No logra realizar las actividades propuestas.</t>
        </is>
      </c>
      <c r="M19" s="11">
        <is>
          <t>B</t>
        </is>
      </c>
      <c r="N19" s="12">
        <is>
          <t>C</t>
        </is>
      </c>
      <c r="O19" s="12">
        <is>
          <t>B</t>
        </is>
      </c>
      <c r="P19" s="12">
        <is>
          <t>A</t>
        </is>
      </c>
      <c r="Q19" s="12"/>
      <c r="R19" s="12"/>
      <c r="S19" s="13"/>
      <c r="T19" s="61" t="str">
        <f t="shared" si="1"/>
        <v/>
      </c>
      <c r="U19" s="66">
        <is>
          <t>Presenta dificultades para realizar las actividades propuestas.</t>
        </is>
      </c>
      <c r="V19" s="11">
        <is>
          <t>A</t>
        </is>
      </c>
      <c r="W19" s="12">
        <is>
          <t>C</t>
        </is>
      </c>
      <c r="X19" s="12">
        <is>
          <t/>
        </is>
      </c>
      <c r="Y19" s="12">
        <is>
          <t/>
        </is>
      </c>
      <c r="Z19" s="12"/>
      <c r="AA19" s="12"/>
      <c r="AB19" s="13"/>
      <c r="AC19" s="61" t="str">
        <f t="shared" si="2"/>
        <v/>
      </c>
      <c r="AD19" s="66">
        <is>
          <t>Presenta dificultades para realizar las actividades propuestas.</t>
        </is>
      </c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9"/>
      <c r="AU19" s="80"/>
      <c r="AV19" s="31"/>
      <c r="AW19" s="30">
        <f t="shared" si="8"/>
        <v/>
      </c>
      <c r="AX19" s="30">
        <f t="shared" si="8"/>
        <v/>
      </c>
      <c r="AY19" s="30">
        <f t="shared" si="8"/>
        <v/>
      </c>
      <c r="AZ19" s="30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>
        <f t="shared" si="9"/>
        <v/>
      </c>
      <c r="BE19" s="26"/>
      <c r="BF19" s="28">
        <f t="shared" si="10"/>
        <v/>
      </c>
      <c r="BG19" s="28">
        <f t="shared" si="10"/>
        <v/>
      </c>
      <c r="BH19" s="28">
        <f t="shared" si="10"/>
        <v/>
      </c>
      <c r="BI19" s="28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>
        <f t="shared" si="11"/>
        <v/>
      </c>
      <c r="BN19" s="26"/>
      <c r="BO19" s="28">
        <f t="shared" si="12"/>
        <v/>
      </c>
      <c r="BP19" s="28">
        <f t="shared" si="12"/>
        <v/>
      </c>
      <c r="BQ19" s="28">
        <f t="shared" si="12"/>
        <v/>
      </c>
      <c r="BR19" s="28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>
        <f t="shared" si="13"/>
        <v/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/>
      </c>
      <c r="CF19" s="26"/>
      <c r="CG19" s="28">
        <f t="shared" si="16"/>
        <v/>
      </c>
      <c r="CH19" s="28">
        <f t="shared" si="21"/>
        <v/>
      </c>
      <c r="CI19" s="28">
        <f t="shared" si="17"/>
        <v/>
      </c>
      <c r="CJ19" s="28" t="e">
        <f t="shared" si="18"/>
        <v/>
      </c>
      <c r="CK19" s="27" t="e">
        <f t="shared" si="19"/>
        <v/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2">
        <is>
          <t>PANAIFO JULON, ADRITH DE JESUS</t>
        </is>
      </c>
      <c r="C20" s="35"/>
      <c r="D20" s="11">
        <is>
          <t>B</t>
        </is>
      </c>
      <c r="E20" s="12">
        <is>
          <t/>
        </is>
      </c>
      <c r="F20" s="12">
        <is>
          <t/>
        </is>
      </c>
      <c r="G20" s="12">
        <is>
          <t/>
        </is>
      </c>
      <c r="H20" s="12"/>
      <c r="I20" s="12"/>
      <c r="J20" s="13"/>
      <c r="K20" s="61" t="str">
        <f t="shared" si="0"/>
        <v/>
      </c>
      <c r="L20" s="66">
        <is>
          <t>Presenta dificultades para realizar las actividades propuestas.</t>
        </is>
      </c>
      <c r="M20" s="11">
        <is>
          <t>B</t>
        </is>
      </c>
      <c r="N20" s="12">
        <is>
          <t>A</t>
        </is>
      </c>
      <c r="O20" s="12">
        <is>
          <t>A</t>
        </is>
      </c>
      <c r="P20" s="12">
        <is>
          <t>B</t>
        </is>
      </c>
      <c r="Q20" s="12"/>
      <c r="R20" s="12"/>
      <c r="S20" s="13"/>
      <c r="T20" s="61" t="str">
        <f t="shared" si="1"/>
        <v/>
      </c>
      <c r="U20" s="66">
        <is>
          <t>Logra realizar las actividades propuestas de manera satisfactoria.</t>
        </is>
      </c>
      <c r="V20" s="11">
        <is>
          <t>B</t>
        </is>
      </c>
      <c r="W20" s="12">
        <is>
          <t>B</t>
        </is>
      </c>
      <c r="X20" s="12">
        <is>
          <t/>
        </is>
      </c>
      <c r="Y20" s="12">
        <is>
          <t/>
        </is>
      </c>
      <c r="Z20" s="12"/>
      <c r="AA20" s="12"/>
      <c r="AB20" s="13"/>
      <c r="AC20" s="61" t="str">
        <f t="shared" si="2"/>
        <v/>
      </c>
      <c r="AD20" s="66">
        <is>
          <t>Presenta dificultades para realizar las actividades propuestas.</t>
        </is>
      </c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9"/>
      <c r="AU20" s="80"/>
      <c r="AV20" s="31"/>
      <c r="AW20" s="30">
        <f t="shared" si="8"/>
        <v/>
      </c>
      <c r="AX20" s="30">
        <f t="shared" si="8"/>
        <v/>
      </c>
      <c r="AY20" s="30">
        <f t="shared" si="8"/>
        <v/>
      </c>
      <c r="AZ20" s="30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>
        <f t="shared" si="9"/>
        <v/>
      </c>
      <c r="BE20" s="26"/>
      <c r="BF20" s="28">
        <f t="shared" si="10"/>
        <v/>
      </c>
      <c r="BG20" s="28">
        <f t="shared" si="10"/>
        <v/>
      </c>
      <c r="BH20" s="28">
        <f t="shared" si="10"/>
        <v/>
      </c>
      <c r="BI20" s="28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>
        <f t="shared" si="11"/>
        <v/>
      </c>
      <c r="BN20" s="26"/>
      <c r="BO20" s="28">
        <f t="shared" si="12"/>
        <v/>
      </c>
      <c r="BP20" s="28">
        <f t="shared" si="12"/>
        <v/>
      </c>
      <c r="BQ20" s="28">
        <f t="shared" si="12"/>
        <v/>
      </c>
      <c r="BR20" s="28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>
        <f t="shared" si="13"/>
        <v/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/>
      </c>
      <c r="CF20" s="26"/>
      <c r="CG20" s="28">
        <f t="shared" si="16"/>
        <v/>
      </c>
      <c r="CH20" s="28">
        <f t="shared" si="21"/>
        <v/>
      </c>
      <c r="CI20" s="28">
        <f t="shared" si="17"/>
        <v/>
      </c>
      <c r="CJ20" s="28" t="e">
        <f t="shared" si="18"/>
        <v/>
      </c>
      <c r="CK20" s="27" t="e">
        <f t="shared" si="19"/>
        <v/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2">
        <is>
          <t>PANAIFO YUYARIMA JHON KENER</t>
        </is>
      </c>
      <c r="C21" s="35"/>
      <c r="D21" s="11">
        <is>
          <t>C</t>
        </is>
      </c>
      <c r="E21" s="12">
        <is>
          <t/>
        </is>
      </c>
      <c r="F21" s="12">
        <is>
          <t/>
        </is>
      </c>
      <c r="G21" s="12">
        <is>
          <t/>
        </is>
      </c>
      <c r="H21" s="12"/>
      <c r="I21" s="12"/>
      <c r="J21" s="13"/>
      <c r="K21" s="61" t="str">
        <f t="shared" si="0"/>
        <v/>
      </c>
      <c r="L21" s="66">
        <is>
          <t>No logra realizar las actividades propuestas.</t>
        </is>
      </c>
      <c r="M21" s="11">
        <is>
          <t>B</t>
        </is>
      </c>
      <c r="N21" s="12">
        <is>
          <t>A</t>
        </is>
      </c>
      <c r="O21" s="12">
        <is>
          <t>B</t>
        </is>
      </c>
      <c r="P21" s="12">
        <is>
          <t>A</t>
        </is>
      </c>
      <c r="Q21" s="12"/>
      <c r="R21" s="12"/>
      <c r="S21" s="13"/>
      <c r="T21" s="61" t="str">
        <f t="shared" si="1"/>
        <v/>
      </c>
      <c r="U21" s="66">
        <is>
          <t>Logra realizar las actividades propuestas de manera satisfactoria.</t>
        </is>
      </c>
      <c r="V21" s="11">
        <is>
          <t>B</t>
        </is>
      </c>
      <c r="W21" s="12">
        <is>
          <t>C</t>
        </is>
      </c>
      <c r="X21" s="12">
        <is>
          <t/>
        </is>
      </c>
      <c r="Y21" s="12">
        <is>
          <t/>
        </is>
      </c>
      <c r="Z21" s="12"/>
      <c r="AA21" s="12"/>
      <c r="AB21" s="13"/>
      <c r="AC21" s="61" t="str">
        <f t="shared" si="2"/>
        <v/>
      </c>
      <c r="AD21" s="66">
        <is>
          <t>Presenta dificultades para realizar las actividades propuestas.</t>
        </is>
      </c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9"/>
      <c r="AU21" s="80"/>
      <c r="AV21" s="31"/>
      <c r="AW21" s="30">
        <f t="shared" si="8"/>
        <v/>
      </c>
      <c r="AX21" s="30">
        <f t="shared" si="8"/>
        <v/>
      </c>
      <c r="AY21" s="30">
        <f t="shared" si="8"/>
        <v/>
      </c>
      <c r="AZ21" s="30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>
        <f t="shared" si="9"/>
        <v/>
      </c>
      <c r="BE21" s="26"/>
      <c r="BF21" s="28">
        <f t="shared" si="10"/>
        <v/>
      </c>
      <c r="BG21" s="28">
        <f t="shared" si="10"/>
        <v/>
      </c>
      <c r="BH21" s="28">
        <f t="shared" si="10"/>
        <v/>
      </c>
      <c r="BI21" s="28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>
        <f t="shared" si="11"/>
        <v/>
      </c>
      <c r="BN21" s="26"/>
      <c r="BO21" s="28">
        <f t="shared" si="12"/>
        <v/>
      </c>
      <c r="BP21" s="28">
        <f t="shared" si="12"/>
        <v/>
      </c>
      <c r="BQ21" s="28">
        <f t="shared" si="12"/>
        <v/>
      </c>
      <c r="BR21" s="28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>
        <f t="shared" si="13"/>
        <v/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/>
      </c>
      <c r="CF21" s="26"/>
      <c r="CG21" s="28">
        <f t="shared" si="16"/>
        <v/>
      </c>
      <c r="CH21" s="28">
        <f t="shared" si="21"/>
        <v/>
      </c>
      <c r="CI21" s="28">
        <f t="shared" si="17"/>
        <v/>
      </c>
      <c r="CJ21" s="28" t="e">
        <f t="shared" si="18"/>
        <v/>
      </c>
      <c r="CK21" s="27" t="e">
        <f t="shared" si="19"/>
        <v/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2">
        <is>
          <t>PANDURO SILVA BECKER CALEB</t>
        </is>
      </c>
      <c r="C22" s="35"/>
      <c r="D22" s="11">
        <is>
          <t>C</t>
        </is>
      </c>
      <c r="E22" s="12">
        <is>
          <t/>
        </is>
      </c>
      <c r="F22" s="12">
        <is>
          <t/>
        </is>
      </c>
      <c r="G22" s="12">
        <is>
          <t/>
        </is>
      </c>
      <c r="H22" s="12"/>
      <c r="I22" s="12"/>
      <c r="J22" s="13"/>
      <c r="K22" s="61" t="str">
        <f t="shared" si="0"/>
        <v/>
      </c>
      <c r="L22" s="66">
        <is>
          <t>No logra realizar las actividades propuestas.</t>
        </is>
      </c>
      <c r="M22" s="11">
        <is>
          <t>B</t>
        </is>
      </c>
      <c r="N22" s="12">
        <is>
          <t>C</t>
        </is>
      </c>
      <c r="O22" s="12">
        <is>
          <t>B</t>
        </is>
      </c>
      <c r="P22" s="12">
        <is>
          <t/>
        </is>
      </c>
      <c r="Q22" s="12"/>
      <c r="R22" s="12"/>
      <c r="S22" s="13"/>
      <c r="T22" s="61" t="str">
        <f t="shared" si="1"/>
        <v/>
      </c>
      <c r="U22" s="66">
        <is>
          <t>Presenta dificultades para realizar las actividades propuestas.</t>
        </is>
      </c>
      <c r="V22" s="11">
        <is>
          <t>C</t>
        </is>
      </c>
      <c r="W22" s="12">
        <is>
          <t/>
        </is>
      </c>
      <c r="X22" s="12">
        <is>
          <t/>
        </is>
      </c>
      <c r="Y22" s="12">
        <is>
          <t/>
        </is>
      </c>
      <c r="Z22" s="12"/>
      <c r="AA22" s="12"/>
      <c r="AB22" s="13"/>
      <c r="AC22" s="61" t="str">
        <f t="shared" si="2"/>
        <v/>
      </c>
      <c r="AD22" s="66">
        <is>
          <t>No logra realizar las actividades propuestas.</t>
        </is>
      </c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9"/>
      <c r="AU22" s="80"/>
      <c r="AV22" s="31"/>
      <c r="AW22" s="30">
        <f t="shared" si="8"/>
        <v/>
      </c>
      <c r="AX22" s="30">
        <f t="shared" si="8"/>
        <v/>
      </c>
      <c r="AY22" s="30">
        <f t="shared" si="8"/>
        <v/>
      </c>
      <c r="AZ22" s="30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>
        <f t="shared" si="9"/>
        <v/>
      </c>
      <c r="BE22" s="26"/>
      <c r="BF22" s="28">
        <f t="shared" si="10"/>
        <v/>
      </c>
      <c r="BG22" s="28">
        <f t="shared" si="10"/>
        <v/>
      </c>
      <c r="BH22" s="28">
        <f t="shared" si="10"/>
        <v/>
      </c>
      <c r="BI22" s="28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>
        <f t="shared" si="11"/>
        <v/>
      </c>
      <c r="BN22" s="26"/>
      <c r="BO22" s="28">
        <f t="shared" si="12"/>
        <v/>
      </c>
      <c r="BP22" s="28">
        <f t="shared" si="12"/>
        <v/>
      </c>
      <c r="BQ22" s="28">
        <f t="shared" si="12"/>
        <v/>
      </c>
      <c r="BR22" s="28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>
        <f t="shared" si="13"/>
        <v/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/>
      </c>
      <c r="CF22" s="26"/>
      <c r="CG22" s="28">
        <f t="shared" si="16"/>
        <v/>
      </c>
      <c r="CH22" s="28">
        <f t="shared" si="21"/>
        <v/>
      </c>
      <c r="CI22" s="28">
        <f t="shared" si="17"/>
        <v/>
      </c>
      <c r="CJ22" s="28" t="e">
        <f t="shared" si="18"/>
        <v/>
      </c>
      <c r="CK22" s="27" t="e">
        <f t="shared" si="19"/>
        <v/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2">
        <is>
          <t>PEZO YUMBATO LUZ CLARITA</t>
        </is>
      </c>
      <c r="C23" s="35"/>
      <c r="D23" s="11">
        <is>
          <t>C</t>
        </is>
      </c>
      <c r="E23" s="12">
        <is>
          <t/>
        </is>
      </c>
      <c r="F23" s="12">
        <is>
          <t/>
        </is>
      </c>
      <c r="G23" s="12">
        <is>
          <t/>
        </is>
      </c>
      <c r="H23" s="12"/>
      <c r="I23" s="12"/>
      <c r="J23" s="13"/>
      <c r="K23" s="61" t="str">
        <f t="shared" si="0"/>
        <v/>
      </c>
      <c r="L23" s="66">
        <is>
          <t>No logra realizar las actividades propuestas.</t>
        </is>
      </c>
      <c r="M23" s="11">
        <is>
          <t>A</t>
        </is>
      </c>
      <c r="N23" s="12">
        <is>
          <t>B</t>
        </is>
      </c>
      <c r="O23" s="12">
        <is>
          <t>B</t>
        </is>
      </c>
      <c r="P23" s="12">
        <is>
          <t/>
        </is>
      </c>
      <c r="Q23" s="12"/>
      <c r="R23" s="12"/>
      <c r="S23" s="13"/>
      <c r="T23" s="61" t="str">
        <f t="shared" si="1"/>
        <v/>
      </c>
      <c r="U23" s="66">
        <is>
          <t>Presenta dificultades para realizar las actividades propuestas.</t>
        </is>
      </c>
      <c r="V23" s="11">
        <is>
          <t>B</t>
        </is>
      </c>
      <c r="W23" s="12">
        <is>
          <t>C</t>
        </is>
      </c>
      <c r="X23" s="12">
        <is>
          <t/>
        </is>
      </c>
      <c r="Y23" s="12">
        <is>
          <t/>
        </is>
      </c>
      <c r="Z23" s="12"/>
      <c r="AA23" s="12"/>
      <c r="AB23" s="13"/>
      <c r="AC23" s="61" t="str">
        <f t="shared" si="2"/>
        <v/>
      </c>
      <c r="AD23" s="66">
        <is>
          <t>Presenta dificultades para realizar las actividades propuestas.</t>
        </is>
      </c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9"/>
      <c r="AU23" s="80"/>
      <c r="AV23" s="31"/>
      <c r="AW23" s="30">
        <f t="shared" si="8"/>
        <v/>
      </c>
      <c r="AX23" s="30">
        <f t="shared" si="8"/>
        <v/>
      </c>
      <c r="AY23" s="30">
        <f t="shared" si="8"/>
        <v/>
      </c>
      <c r="AZ23" s="30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>
        <f t="shared" si="9"/>
        <v/>
      </c>
      <c r="BE23" s="26"/>
      <c r="BF23" s="28">
        <f t="shared" si="10"/>
        <v/>
      </c>
      <c r="BG23" s="28">
        <f t="shared" si="10"/>
        <v/>
      </c>
      <c r="BH23" s="28">
        <f t="shared" si="10"/>
        <v/>
      </c>
      <c r="BI23" s="28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>
        <f t="shared" si="11"/>
        <v/>
      </c>
      <c r="BN23" s="26"/>
      <c r="BO23" s="28">
        <f t="shared" si="12"/>
        <v/>
      </c>
      <c r="BP23" s="28">
        <f t="shared" si="12"/>
        <v/>
      </c>
      <c r="BQ23" s="28">
        <f t="shared" si="12"/>
        <v/>
      </c>
      <c r="BR23" s="28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>
        <f t="shared" si="13"/>
        <v/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/>
      </c>
      <c r="CF23" s="26"/>
      <c r="CG23" s="28">
        <f t="shared" si="16"/>
        <v/>
      </c>
      <c r="CH23" s="28">
        <f t="shared" si="21"/>
        <v/>
      </c>
      <c r="CI23" s="28">
        <f t="shared" si="17"/>
        <v/>
      </c>
      <c r="CJ23" s="28" t="e">
        <f t="shared" si="18"/>
        <v/>
      </c>
      <c r="CK23" s="27" t="e">
        <f t="shared" si="19"/>
        <v/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2">
        <is>
          <t>POEMAPE DEL CASTILLO JOHANY YESENIA</t>
        </is>
      </c>
      <c r="C24" s="35"/>
      <c r="D24" s="11">
        <is>
          <t>C</t>
        </is>
      </c>
      <c r="E24" s="12">
        <is>
          <t/>
        </is>
      </c>
      <c r="F24" s="12">
        <is>
          <t/>
        </is>
      </c>
      <c r="G24" s="12">
        <is>
          <t/>
        </is>
      </c>
      <c r="H24" s="12"/>
      <c r="I24" s="12"/>
      <c r="J24" s="13"/>
      <c r="K24" s="61" t="str">
        <f t="shared" si="0"/>
        <v/>
      </c>
      <c r="L24" s="66">
        <is>
          <t>No logra realizar las actividades propuestas.</t>
        </is>
      </c>
      <c r="M24" s="11">
        <is>
          <t>B</t>
        </is>
      </c>
      <c r="N24" s="12">
        <is>
          <t>A</t>
        </is>
      </c>
      <c r="O24" s="12">
        <is>
          <t>B</t>
        </is>
      </c>
      <c r="P24" s="12">
        <is>
          <t>A</t>
        </is>
      </c>
      <c r="Q24" s="12"/>
      <c r="R24" s="12"/>
      <c r="S24" s="13"/>
      <c r="T24" s="61" t="str">
        <f t="shared" si="1"/>
        <v/>
      </c>
      <c r="U24" s="66">
        <is>
          <t>Logra realizar las actividades propuestas de manera satisfactoria.</t>
        </is>
      </c>
      <c r="V24" s="11">
        <is>
          <t>B</t>
        </is>
      </c>
      <c r="W24" s="12">
        <is>
          <t>C</t>
        </is>
      </c>
      <c r="X24" s="12">
        <is>
          <t/>
        </is>
      </c>
      <c r="Y24" s="12">
        <is>
          <t/>
        </is>
      </c>
      <c r="Z24" s="12"/>
      <c r="AA24" s="12"/>
      <c r="AB24" s="13"/>
      <c r="AC24" s="61" t="str">
        <f t="shared" si="2"/>
        <v/>
      </c>
      <c r="AD24" s="66">
        <is>
          <t>Presenta dificultades para realizar las actividades propuestas.</t>
        </is>
      </c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9"/>
      <c r="AU24" s="80"/>
      <c r="AV24" s="31"/>
      <c r="AW24" s="30">
        <f t="shared" si="8"/>
        <v/>
      </c>
      <c r="AX24" s="30">
        <f t="shared" si="8"/>
        <v/>
      </c>
      <c r="AY24" s="30">
        <f t="shared" si="8"/>
        <v/>
      </c>
      <c r="AZ24" s="30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>
        <f t="shared" si="9"/>
        <v/>
      </c>
      <c r="BE24" s="26"/>
      <c r="BF24" s="28">
        <f t="shared" si="10"/>
        <v/>
      </c>
      <c r="BG24" s="28">
        <f t="shared" si="10"/>
        <v/>
      </c>
      <c r="BH24" s="28">
        <f t="shared" si="10"/>
        <v/>
      </c>
      <c r="BI24" s="28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>
        <f t="shared" si="11"/>
        <v/>
      </c>
      <c r="BN24" s="26"/>
      <c r="BO24" s="28">
        <f t="shared" si="12"/>
        <v/>
      </c>
      <c r="BP24" s="28">
        <f t="shared" si="12"/>
        <v/>
      </c>
      <c r="BQ24" s="28">
        <f t="shared" si="12"/>
        <v/>
      </c>
      <c r="BR24" s="28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>
        <f t="shared" si="13"/>
        <v/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/>
      </c>
      <c r="CF24" s="26"/>
      <c r="CG24" s="28">
        <f t="shared" si="16"/>
        <v/>
      </c>
      <c r="CH24" s="28">
        <f t="shared" si="21"/>
        <v/>
      </c>
      <c r="CI24" s="28">
        <f t="shared" si="17"/>
        <v/>
      </c>
      <c r="CJ24" s="28" t="e">
        <f t="shared" si="18"/>
        <v/>
      </c>
      <c r="CK24" s="27" t="e">
        <f t="shared" si="19"/>
        <v/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2">
        <is>
          <t>RIVAS ISUIZA, SANDRA ESTHER</t>
        </is>
      </c>
      <c r="C25" s="35"/>
      <c r="D25" s="11">
        <is>
          <t>B</t>
        </is>
      </c>
      <c r="E25" s="12">
        <is>
          <t/>
        </is>
      </c>
      <c r="F25" s="12">
        <is>
          <t/>
        </is>
      </c>
      <c r="G25" s="12">
        <is>
          <t/>
        </is>
      </c>
      <c r="H25" s="12"/>
      <c r="I25" s="12"/>
      <c r="J25" s="13"/>
      <c r="K25" s="61" t="str">
        <f t="shared" si="0"/>
        <v/>
      </c>
      <c r="L25" s="66">
        <is>
          <t>Presenta dificultades para realizar las actividades propuestas.</t>
        </is>
      </c>
      <c r="M25" s="11">
        <is>
          <t>B</t>
        </is>
      </c>
      <c r="N25" s="12">
        <is>
          <t>B</t>
        </is>
      </c>
      <c r="O25" s="12">
        <is>
          <t>A</t>
        </is>
      </c>
      <c r="P25" s="12">
        <is>
          <t/>
        </is>
      </c>
      <c r="Q25" s="12"/>
      <c r="R25" s="12"/>
      <c r="S25" s="13"/>
      <c r="T25" s="61" t="str">
        <f t="shared" si="1"/>
        <v/>
      </c>
      <c r="U25" s="66">
        <is>
          <t>Presenta dificultades para realizar las actividades propuestas.</t>
        </is>
      </c>
      <c r="V25" s="11">
        <is>
          <t>B</t>
        </is>
      </c>
      <c r="W25" s="12">
        <is>
          <t>B</t>
        </is>
      </c>
      <c r="X25" s="12">
        <is>
          <t/>
        </is>
      </c>
      <c r="Y25" s="12">
        <is>
          <t/>
        </is>
      </c>
      <c r="Z25" s="12"/>
      <c r="AA25" s="12"/>
      <c r="AB25" s="13"/>
      <c r="AC25" s="61" t="str">
        <f t="shared" si="2"/>
        <v/>
      </c>
      <c r="AD25" s="66">
        <is>
          <t>Presenta dificultades para realizar las actividades propuestas.</t>
        </is>
      </c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9"/>
      <c r="AU25" s="80"/>
      <c r="AV25" s="31"/>
      <c r="AW25" s="30">
        <f t="shared" si="8"/>
        <v/>
      </c>
      <c r="AX25" s="30">
        <f t="shared" si="8"/>
        <v/>
      </c>
      <c r="AY25" s="30">
        <f t="shared" si="8"/>
        <v/>
      </c>
      <c r="AZ25" s="30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>
        <f t="shared" si="9"/>
        <v/>
      </c>
      <c r="BE25" s="26"/>
      <c r="BF25" s="28">
        <f t="shared" si="10"/>
        <v/>
      </c>
      <c r="BG25" s="28">
        <f t="shared" si="10"/>
        <v/>
      </c>
      <c r="BH25" s="28">
        <f t="shared" si="10"/>
        <v/>
      </c>
      <c r="BI25" s="28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>
        <f t="shared" si="11"/>
        <v/>
      </c>
      <c r="BN25" s="26"/>
      <c r="BO25" s="28">
        <f t="shared" si="12"/>
        <v/>
      </c>
      <c r="BP25" s="28">
        <f t="shared" si="12"/>
        <v/>
      </c>
      <c r="BQ25" s="28">
        <f t="shared" si="12"/>
        <v/>
      </c>
      <c r="BR25" s="28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>
        <f t="shared" si="13"/>
        <v/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/>
      </c>
      <c r="CF25" s="26"/>
      <c r="CG25" s="28">
        <f t="shared" si="16"/>
        <v/>
      </c>
      <c r="CH25" s="28">
        <f t="shared" si="21"/>
        <v/>
      </c>
      <c r="CI25" s="28">
        <f t="shared" si="17"/>
        <v/>
      </c>
      <c r="CJ25" s="28" t="e">
        <f t="shared" si="18"/>
        <v/>
      </c>
      <c r="CK25" s="27" t="e">
        <f t="shared" si="19"/>
        <v/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2">
        <is>
          <t>YAICURIMA SANGAMA, DIEGO</t>
        </is>
      </c>
      <c r="C26" s="35"/>
      <c r="D26" s="11">
        <is>
          <t>C</t>
        </is>
      </c>
      <c r="E26" s="12">
        <is>
          <t/>
        </is>
      </c>
      <c r="F26" s="12">
        <is>
          <t/>
        </is>
      </c>
      <c r="G26" s="12">
        <is>
          <t/>
        </is>
      </c>
      <c r="H26" s="12"/>
      <c r="I26" s="12"/>
      <c r="J26" s="13"/>
      <c r="K26" s="61" t="str">
        <f t="shared" si="0"/>
        <v/>
      </c>
      <c r="L26" s="66">
        <is>
          <t>No logra realizar las actividades propuestas.</t>
        </is>
      </c>
      <c r="M26" s="11">
        <is>
          <t>B</t>
        </is>
      </c>
      <c r="N26" s="12">
        <is>
          <t>A</t>
        </is>
      </c>
      <c r="O26" s="12">
        <is>
          <t/>
        </is>
      </c>
      <c r="P26" s="12">
        <is>
          <t/>
        </is>
      </c>
      <c r="Q26" s="12"/>
      <c r="R26" s="12"/>
      <c r="S26" s="13"/>
      <c r="T26" s="61" t="str">
        <f t="shared" si="1"/>
        <v/>
      </c>
      <c r="U26" s="66">
        <is>
          <t>Logra realizar las actividades propuestas de manera satisfactoria.</t>
        </is>
      </c>
      <c r="V26" s="11">
        <is>
          <t>B</t>
        </is>
      </c>
      <c r="W26" s="12">
        <is>
          <t>C</t>
        </is>
      </c>
      <c r="X26" s="12">
        <is>
          <t/>
        </is>
      </c>
      <c r="Y26" s="12">
        <is>
          <t/>
        </is>
      </c>
      <c r="Z26" s="12"/>
      <c r="AA26" s="12"/>
      <c r="AB26" s="13"/>
      <c r="AC26" s="61" t="str">
        <f t="shared" si="2"/>
        <v/>
      </c>
      <c r="AD26" s="66">
        <is>
          <t>Presenta dificultades para realizar las actividades propuestas.</t>
        </is>
      </c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9"/>
      <c r="AU26" s="80"/>
      <c r="AV26" s="31"/>
      <c r="AW26" s="30">
        <f t="shared" si="8"/>
        <v/>
      </c>
      <c r="AX26" s="30">
        <f t="shared" si="8"/>
        <v/>
      </c>
      <c r="AY26" s="30">
        <f t="shared" si="8"/>
        <v/>
      </c>
      <c r="AZ26" s="30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>
        <f t="shared" si="9"/>
        <v/>
      </c>
      <c r="BE26" s="26"/>
      <c r="BF26" s="28">
        <f t="shared" si="10"/>
        <v/>
      </c>
      <c r="BG26" s="28">
        <f t="shared" si="10"/>
        <v/>
      </c>
      <c r="BH26" s="28">
        <f t="shared" si="10"/>
        <v/>
      </c>
      <c r="BI26" s="28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>
        <f t="shared" si="11"/>
        <v/>
      </c>
      <c r="BN26" s="26"/>
      <c r="BO26" s="28">
        <f t="shared" si="12"/>
        <v/>
      </c>
      <c r="BP26" s="28">
        <f t="shared" si="12"/>
        <v/>
      </c>
      <c r="BQ26" s="28">
        <f t="shared" si="12"/>
        <v/>
      </c>
      <c r="BR26" s="28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>
        <f t="shared" si="13"/>
        <v/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/>
      </c>
      <c r="CF26" s="26"/>
      <c r="CG26" s="28">
        <f t="shared" si="16"/>
        <v/>
      </c>
      <c r="CH26" s="28">
        <f t="shared" si="21"/>
        <v/>
      </c>
      <c r="CI26" s="28">
        <f t="shared" si="17"/>
        <v/>
      </c>
      <c r="CJ26" s="28" t="e">
        <f t="shared" si="18"/>
        <v/>
      </c>
      <c r="CK26" s="27" t="e">
        <f t="shared" si="19"/>
        <v/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/>
      </c>
      <c r="B27" s="72" t="s">
        <v/>
      </c>
      <c r="C27" s="35"/>
      <c r="D27" s="11" t="s">
        <v/>
      </c>
      <c r="E27" s="12" t="s">
        <v/>
      </c>
      <c r="F27" s="12" t="s">
        <v/>
      </c>
      <c r="G27" s="12" t="s">
        <v/>
      </c>
      <c r="H27" s="12"/>
      <c r="I27" s="12"/>
      <c r="J27" s="13"/>
      <c r="K27" s="61" t="str">
        <f t="shared" si="0"/>
        <v/>
      </c>
      <c r="L27" s="66" t="s">
        <v/>
      </c>
      <c r="M27" s="11" t="s">
        <v/>
      </c>
      <c r="N27" s="12" t="s">
        <v/>
      </c>
      <c r="O27" s="12" t="s">
        <v/>
      </c>
      <c r="P27" s="12" t="s">
        <v/>
      </c>
      <c r="Q27" s="12"/>
      <c r="R27" s="12"/>
      <c r="S27" s="13"/>
      <c r="T27" s="61" t="str">
        <f t="shared" si="1"/>
        <v/>
      </c>
      <c r="U27" s="66" t="s">
        <v/>
      </c>
      <c r="V27" s="11" t="s">
        <v/>
      </c>
      <c r="W27" s="12" t="s">
        <v/>
      </c>
      <c r="X27" s="12" t="s">
        <v/>
      </c>
      <c r="Y27" s="12" t="s">
        <v/>
      </c>
      <c r="Z27" s="12"/>
      <c r="AA27" s="12"/>
      <c r="AB27" s="13"/>
      <c r="AC27" s="61" t="str">
        <f t="shared" si="2"/>
        <v/>
      </c>
      <c r="AD27" s="66" t="s">
        <v/>
      </c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9"/>
      <c r="AU27" s="80"/>
      <c r="AV27" s="31"/>
      <c r="AW27" s="30">
        <f t="shared" si="8"/>
        <v/>
      </c>
      <c r="AX27" s="30">
        <f t="shared" si="8"/>
        <v/>
      </c>
      <c r="AY27" s="30">
        <f t="shared" si="8"/>
        <v/>
      </c>
      <c r="AZ27" s="30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>
        <f t="shared" si="9"/>
        <v/>
      </c>
      <c r="BE27" s="26"/>
      <c r="BF27" s="28">
        <f t="shared" si="10"/>
        <v/>
      </c>
      <c r="BG27" s="28">
        <f t="shared" si="10"/>
        <v/>
      </c>
      <c r="BH27" s="28">
        <f t="shared" si="10"/>
        <v/>
      </c>
      <c r="BI27" s="28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>
        <f t="shared" si="11"/>
        <v/>
      </c>
      <c r="BN27" s="26"/>
      <c r="BO27" s="28">
        <f t="shared" si="12"/>
        <v/>
      </c>
      <c r="BP27" s="28">
        <f t="shared" si="12"/>
        <v/>
      </c>
      <c r="BQ27" s="28">
        <f t="shared" si="12"/>
        <v/>
      </c>
      <c r="BR27" s="28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>
        <f t="shared" si="13"/>
        <v/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/>
      </c>
      <c r="CF27" s="26"/>
      <c r="CG27" s="28">
        <f t="shared" si="16"/>
        <v/>
      </c>
      <c r="CH27" s="28">
        <f t="shared" si="21"/>
        <v/>
      </c>
      <c r="CI27" s="28">
        <f t="shared" si="17"/>
        <v/>
      </c>
      <c r="CJ27" s="28" t="e">
        <f t="shared" si="18"/>
        <v/>
      </c>
      <c r="CK27" s="27" t="e">
        <f t="shared" si="19"/>
        <v/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/>
      </c>
      <c r="B28" s="72" t="s">
        <v/>
      </c>
      <c r="C28" s="35"/>
      <c r="D28" s="11" t="s">
        <v/>
      </c>
      <c r="E28" s="12" t="s">
        <v/>
      </c>
      <c r="F28" s="12" t="s">
        <v/>
      </c>
      <c r="G28" s="12" t="s">
        <v/>
      </c>
      <c r="H28" s="12"/>
      <c r="I28" s="12"/>
      <c r="J28" s="13"/>
      <c r="K28" s="61" t="str">
        <f t="shared" si="0"/>
        <v/>
      </c>
      <c r="L28" s="66" t="s">
        <v/>
      </c>
      <c r="M28" s="11" t="s">
        <v/>
      </c>
      <c r="N28" s="12" t="s">
        <v/>
      </c>
      <c r="O28" s="12" t="s">
        <v/>
      </c>
      <c r="P28" s="12" t="s">
        <v/>
      </c>
      <c r="Q28" s="12"/>
      <c r="R28" s="12"/>
      <c r="S28" s="13"/>
      <c r="T28" s="61" t="str">
        <f t="shared" si="1"/>
        <v/>
      </c>
      <c r="U28" s="66" t="s">
        <v/>
      </c>
      <c r="V28" s="11" t="s">
        <v/>
      </c>
      <c r="W28" s="12" t="s">
        <v/>
      </c>
      <c r="X28" s="12" t="s">
        <v/>
      </c>
      <c r="Y28" s="12" t="s">
        <v/>
      </c>
      <c r="Z28" s="12"/>
      <c r="AA28" s="12"/>
      <c r="AB28" s="13"/>
      <c r="AC28" s="61" t="str">
        <f t="shared" si="2"/>
        <v/>
      </c>
      <c r="AD28" s="66" t="s">
        <v/>
      </c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9"/>
      <c r="AU28" s="80"/>
      <c r="AV28" s="31"/>
      <c r="AW28" s="30">
        <f t="shared" si="8"/>
        <v/>
      </c>
      <c r="AX28" s="30">
        <f t="shared" si="8"/>
        <v/>
      </c>
      <c r="AY28" s="30">
        <f t="shared" si="8"/>
        <v/>
      </c>
      <c r="AZ28" s="30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>
        <f t="shared" si="9"/>
        <v/>
      </c>
      <c r="BE28" s="26"/>
      <c r="BF28" s="28">
        <f t="shared" si="10"/>
        <v/>
      </c>
      <c r="BG28" s="28">
        <f t="shared" si="10"/>
        <v/>
      </c>
      <c r="BH28" s="28">
        <f t="shared" si="10"/>
        <v/>
      </c>
      <c r="BI28" s="28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>
        <f t="shared" si="11"/>
        <v/>
      </c>
      <c r="BN28" s="26"/>
      <c r="BO28" s="28">
        <f t="shared" si="12"/>
        <v/>
      </c>
      <c r="BP28" s="28">
        <f t="shared" si="12"/>
        <v/>
      </c>
      <c r="BQ28" s="28">
        <f t="shared" si="12"/>
        <v/>
      </c>
      <c r="BR28" s="28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>
        <f t="shared" si="13"/>
        <v/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/>
      </c>
      <c r="CF28" s="26"/>
      <c r="CG28" s="28">
        <f t="shared" si="16"/>
        <v/>
      </c>
      <c r="CH28" s="28">
        <f t="shared" si="21"/>
        <v/>
      </c>
      <c r="CI28" s="28">
        <f t="shared" si="17"/>
        <v/>
      </c>
      <c r="CJ28" s="28" t="e">
        <f t="shared" si="18"/>
        <v/>
      </c>
      <c r="CK28" s="27" t="e">
        <f t="shared" si="19"/>
        <v/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/>
      </c>
      <c r="B29" s="72" t="s">
        <v/>
      </c>
      <c r="C29" s="35"/>
      <c r="D29" s="11" t="s">
        <v/>
      </c>
      <c r="E29" s="12" t="s">
        <v/>
      </c>
      <c r="F29" s="12" t="s">
        <v/>
      </c>
      <c r="G29" s="12" t="s">
        <v/>
      </c>
      <c r="H29" s="12"/>
      <c r="I29" s="12"/>
      <c r="J29" s="13"/>
      <c r="K29" s="61" t="str">
        <f t="shared" si="0"/>
        <v/>
      </c>
      <c r="L29" s="66" t="s">
        <v/>
      </c>
      <c r="M29" s="11" t="s">
        <v/>
      </c>
      <c r="N29" s="12" t="s">
        <v/>
      </c>
      <c r="O29" s="12" t="s">
        <v/>
      </c>
      <c r="P29" s="12" t="s">
        <v/>
      </c>
      <c r="Q29" s="12"/>
      <c r="R29" s="12"/>
      <c r="S29" s="13"/>
      <c r="T29" s="61" t="str">
        <f t="shared" si="1"/>
        <v/>
      </c>
      <c r="U29" s="66" t="s">
        <v/>
      </c>
      <c r="V29" s="11" t="s">
        <v/>
      </c>
      <c r="W29" s="12" t="s">
        <v/>
      </c>
      <c r="X29" s="12" t="s">
        <v/>
      </c>
      <c r="Y29" s="12" t="s">
        <v/>
      </c>
      <c r="Z29" s="12"/>
      <c r="AA29" s="12"/>
      <c r="AB29" s="13"/>
      <c r="AC29" s="61" t="str">
        <f t="shared" si="2"/>
        <v/>
      </c>
      <c r="AD29" s="66" t="s">
        <v/>
      </c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9"/>
      <c r="AU29" s="80"/>
      <c r="AV29" s="31"/>
      <c r="AW29" s="30">
        <f t="shared" si="8"/>
        <v/>
      </c>
      <c r="AX29" s="30">
        <f t="shared" si="8"/>
        <v/>
      </c>
      <c r="AY29" s="30">
        <f t="shared" si="8"/>
        <v/>
      </c>
      <c r="AZ29" s="30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>
        <f t="shared" si="9"/>
        <v/>
      </c>
      <c r="BE29" s="26"/>
      <c r="BF29" s="28">
        <f t="shared" si="10"/>
        <v/>
      </c>
      <c r="BG29" s="28">
        <f t="shared" si="10"/>
        <v/>
      </c>
      <c r="BH29" s="28">
        <f t="shared" si="10"/>
        <v/>
      </c>
      <c r="BI29" s="28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>
        <f t="shared" si="11"/>
        <v/>
      </c>
      <c r="BN29" s="26"/>
      <c r="BO29" s="28">
        <f t="shared" si="12"/>
        <v/>
      </c>
      <c r="BP29" s="28">
        <f t="shared" si="12"/>
        <v/>
      </c>
      <c r="BQ29" s="28">
        <f t="shared" si="12"/>
        <v/>
      </c>
      <c r="BR29" s="28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>
        <f t="shared" si="13"/>
        <v/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/>
      </c>
      <c r="CF29" s="26"/>
      <c r="CG29" s="28">
        <f t="shared" si="16"/>
        <v/>
      </c>
      <c r="CH29" s="28">
        <f t="shared" si="21"/>
        <v/>
      </c>
      <c r="CI29" s="28">
        <f t="shared" si="17"/>
        <v/>
      </c>
      <c r="CJ29" s="28" t="e">
        <f t="shared" si="18"/>
        <v/>
      </c>
      <c r="CK29" s="27" t="e">
        <f t="shared" si="19"/>
        <v/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/>
      </c>
      <c r="B30" s="72" t="s">
        <v/>
      </c>
      <c r="C30" s="35"/>
      <c r="D30" s="11" t="s">
        <v/>
      </c>
      <c r="E30" s="12" t="s">
        <v/>
      </c>
      <c r="F30" s="12" t="s">
        <v/>
      </c>
      <c r="G30" s="12" t="s">
        <v/>
      </c>
      <c r="H30" s="12"/>
      <c r="I30" s="12"/>
      <c r="J30" s="13"/>
      <c r="K30" s="61" t="str">
        <f t="shared" si="0"/>
        <v/>
      </c>
      <c r="L30" s="66" t="s">
        <v/>
      </c>
      <c r="M30" s="11" t="s">
        <v/>
      </c>
      <c r="N30" s="12" t="s">
        <v/>
      </c>
      <c r="O30" s="12" t="s">
        <v/>
      </c>
      <c r="P30" s="12" t="s">
        <v/>
      </c>
      <c r="Q30" s="12"/>
      <c r="R30" s="12"/>
      <c r="S30" s="13"/>
      <c r="T30" s="61" t="str">
        <f t="shared" si="1"/>
        <v/>
      </c>
      <c r="U30" s="66" t="s">
        <v/>
      </c>
      <c r="V30" s="11" t="s">
        <v/>
      </c>
      <c r="W30" s="12" t="s">
        <v/>
      </c>
      <c r="X30" s="12" t="s">
        <v/>
      </c>
      <c r="Y30" s="12" t="s">
        <v/>
      </c>
      <c r="Z30" s="12"/>
      <c r="AA30" s="12"/>
      <c r="AB30" s="13"/>
      <c r="AC30" s="61" t="str">
        <f t="shared" si="2"/>
        <v/>
      </c>
      <c r="AD30" s="66" t="s">
        <v/>
      </c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9"/>
      <c r="AU30" s="80"/>
      <c r="AV30" s="31"/>
      <c r="AW30" s="30">
        <f t="shared" si="8"/>
        <v/>
      </c>
      <c r="AX30" s="30">
        <f t="shared" si="8"/>
        <v/>
      </c>
      <c r="AY30" s="30">
        <f t="shared" si="8"/>
        <v/>
      </c>
      <c r="AZ30" s="30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>
        <f t="shared" si="9"/>
        <v/>
      </c>
      <c r="BE30" s="26"/>
      <c r="BF30" s="28">
        <f t="shared" si="10"/>
        <v/>
      </c>
      <c r="BG30" s="28">
        <f t="shared" si="10"/>
        <v/>
      </c>
      <c r="BH30" s="28">
        <f t="shared" si="10"/>
        <v/>
      </c>
      <c r="BI30" s="28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>
        <f t="shared" si="11"/>
        <v/>
      </c>
      <c r="BN30" s="26"/>
      <c r="BO30" s="28">
        <f t="shared" si="12"/>
        <v/>
      </c>
      <c r="BP30" s="28">
        <f t="shared" si="12"/>
        <v/>
      </c>
      <c r="BQ30" s="28">
        <f t="shared" si="12"/>
        <v/>
      </c>
      <c r="BR30" s="28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>
        <f t="shared" si="13"/>
        <v/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/>
      </c>
      <c r="CF30" s="26"/>
      <c r="CG30" s="28">
        <f t="shared" si="16"/>
        <v/>
      </c>
      <c r="CH30" s="28">
        <f t="shared" si="21"/>
        <v/>
      </c>
      <c r="CI30" s="28">
        <f t="shared" si="17"/>
        <v/>
      </c>
      <c r="CJ30" s="28" t="e">
        <f t="shared" si="18"/>
        <v/>
      </c>
      <c r="CK30" s="27" t="e">
        <f t="shared" si="19"/>
        <v/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/>
      </c>
      <c r="B31" s="72" t="s">
        <v/>
      </c>
      <c r="C31" s="35"/>
      <c r="D31" s="11" t="s">
        <v/>
      </c>
      <c r="E31" s="12" t="s">
        <v/>
      </c>
      <c r="F31" s="12" t="s">
        <v/>
      </c>
      <c r="G31" s="12" t="s">
        <v/>
      </c>
      <c r="H31" s="12"/>
      <c r="I31" s="12"/>
      <c r="J31" s="13"/>
      <c r="K31" s="61" t="str">
        <f t="shared" si="0"/>
        <v/>
      </c>
      <c r="L31" s="66" t="s">
        <v/>
      </c>
      <c r="M31" s="11" t="s">
        <v/>
      </c>
      <c r="N31" s="12" t="s">
        <v/>
      </c>
      <c r="O31" s="12" t="s">
        <v/>
      </c>
      <c r="P31" s="12" t="s">
        <v/>
      </c>
      <c r="Q31" s="12"/>
      <c r="R31" s="12"/>
      <c r="S31" s="13"/>
      <c r="T31" s="61" t="str">
        <f t="shared" si="1"/>
        <v/>
      </c>
      <c r="U31" s="66" t="s">
        <v/>
      </c>
      <c r="V31" s="11" t="s">
        <v/>
      </c>
      <c r="W31" s="12" t="s">
        <v/>
      </c>
      <c r="X31" s="12" t="s">
        <v/>
      </c>
      <c r="Y31" s="12" t="s">
        <v/>
      </c>
      <c r="Z31" s="12"/>
      <c r="AA31" s="12"/>
      <c r="AB31" s="13"/>
      <c r="AC31" s="61" t="str">
        <f t="shared" si="2"/>
        <v/>
      </c>
      <c r="AD31" s="66" t="s">
        <v/>
      </c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9"/>
      <c r="AU31" s="80"/>
      <c r="AV31" s="31"/>
      <c r="AW31" s="30">
        <f t="shared" si="8"/>
        <v/>
      </c>
      <c r="AX31" s="30">
        <f t="shared" si="8"/>
        <v/>
      </c>
      <c r="AY31" s="30">
        <f t="shared" si="8"/>
        <v/>
      </c>
      <c r="AZ31" s="30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>
        <f t="shared" si="9"/>
        <v/>
      </c>
      <c r="BE31" s="26"/>
      <c r="BF31" s="28">
        <f t="shared" si="10"/>
        <v/>
      </c>
      <c r="BG31" s="28">
        <f t="shared" si="10"/>
        <v/>
      </c>
      <c r="BH31" s="28">
        <f t="shared" si="10"/>
        <v/>
      </c>
      <c r="BI31" s="28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>
        <f t="shared" si="11"/>
        <v/>
      </c>
      <c r="BN31" s="26"/>
      <c r="BO31" s="28">
        <f t="shared" si="12"/>
        <v/>
      </c>
      <c r="BP31" s="28">
        <f t="shared" si="12"/>
        <v/>
      </c>
      <c r="BQ31" s="28">
        <f t="shared" si="12"/>
        <v/>
      </c>
      <c r="BR31" s="28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>
        <f t="shared" si="13"/>
        <v/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/>
      </c>
      <c r="CF31" s="26"/>
      <c r="CG31" s="28">
        <f t="shared" si="16"/>
        <v/>
      </c>
      <c r="CH31" s="28">
        <f t="shared" si="21"/>
        <v/>
      </c>
      <c r="CI31" s="28">
        <f t="shared" si="17"/>
        <v/>
      </c>
      <c r="CJ31" s="28" t="e">
        <f t="shared" si="18"/>
        <v/>
      </c>
      <c r="CK31" s="27" t="e">
        <f t="shared" si="19"/>
        <v/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/>
      </c>
      <c r="B32" s="72" t="s">
        <v/>
      </c>
      <c r="C32" s="35"/>
      <c r="D32" s="11" t="s">
        <v/>
      </c>
      <c r="E32" s="12" t="s">
        <v/>
      </c>
      <c r="F32" s="12" t="s">
        <v/>
      </c>
      <c r="G32" s="12" t="s">
        <v/>
      </c>
      <c r="H32" s="12"/>
      <c r="I32" s="12"/>
      <c r="J32" s="13"/>
      <c r="K32" s="61" t="str">
        <f t="shared" si="0"/>
        <v/>
      </c>
      <c r="L32" s="66" t="s">
        <v/>
      </c>
      <c r="M32" s="11" t="s">
        <v/>
      </c>
      <c r="N32" s="12" t="s">
        <v/>
      </c>
      <c r="O32" s="12" t="s">
        <v/>
      </c>
      <c r="P32" s="12" t="s">
        <v/>
      </c>
      <c r="Q32" s="12"/>
      <c r="R32" s="12"/>
      <c r="S32" s="13"/>
      <c r="T32" s="61" t="str">
        <f t="shared" si="1"/>
        <v/>
      </c>
      <c r="U32" s="66" t="s">
        <v/>
      </c>
      <c r="V32" s="11" t="s">
        <v/>
      </c>
      <c r="W32" s="12" t="s">
        <v/>
      </c>
      <c r="X32" s="12" t="s">
        <v/>
      </c>
      <c r="Y32" s="12" t="s">
        <v/>
      </c>
      <c r="Z32" s="12"/>
      <c r="AA32" s="12"/>
      <c r="AB32" s="13"/>
      <c r="AC32" s="61" t="str">
        <f t="shared" si="2"/>
        <v/>
      </c>
      <c r="AD32" s="66" t="s">
        <v/>
      </c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9"/>
      <c r="AU32" s="80"/>
      <c r="AV32" s="31"/>
      <c r="AW32" s="30">
        <f t="shared" si="8"/>
        <v/>
      </c>
      <c r="AX32" s="30">
        <f t="shared" si="8"/>
        <v/>
      </c>
      <c r="AY32" s="30">
        <f t="shared" si="8"/>
        <v/>
      </c>
      <c r="AZ32" s="30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>
        <f t="shared" si="9"/>
        <v/>
      </c>
      <c r="BE32" s="26"/>
      <c r="BF32" s="28">
        <f t="shared" si="10"/>
        <v/>
      </c>
      <c r="BG32" s="28">
        <f t="shared" si="10"/>
        <v/>
      </c>
      <c r="BH32" s="28">
        <f t="shared" si="10"/>
        <v/>
      </c>
      <c r="BI32" s="28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>
        <f t="shared" si="11"/>
        <v/>
      </c>
      <c r="BN32" s="26"/>
      <c r="BO32" s="28">
        <f t="shared" si="12"/>
        <v/>
      </c>
      <c r="BP32" s="28">
        <f t="shared" si="12"/>
        <v/>
      </c>
      <c r="BQ32" s="28">
        <f t="shared" si="12"/>
        <v/>
      </c>
      <c r="BR32" s="28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>
        <f t="shared" si="13"/>
        <v/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/>
      </c>
      <c r="CF32" s="26"/>
      <c r="CG32" s="28">
        <f t="shared" si="16"/>
        <v/>
      </c>
      <c r="CH32" s="28">
        <f t="shared" si="21"/>
        <v/>
      </c>
      <c r="CI32" s="28">
        <f t="shared" si="17"/>
        <v/>
      </c>
      <c r="CJ32" s="28" t="e">
        <f t="shared" si="18"/>
        <v/>
      </c>
      <c r="CK32" s="27" t="e">
        <f t="shared" si="19"/>
        <v/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/>
      </c>
      <c r="B33" s="72" t="s">
        <v/>
      </c>
      <c r="C33" s="35"/>
      <c r="D33" s="11" t="s">
        <v/>
      </c>
      <c r="E33" s="12" t="s">
        <v/>
      </c>
      <c r="F33" s="12" t="s">
        <v/>
      </c>
      <c r="G33" s="12" t="s">
        <v/>
      </c>
      <c r="H33" s="12"/>
      <c r="I33" s="12"/>
      <c r="J33" s="13"/>
      <c r="K33" s="61" t="str">
        <f t="shared" si="0"/>
        <v/>
      </c>
      <c r="L33" s="66" t="s">
        <v/>
      </c>
      <c r="M33" s="11" t="s">
        <v/>
      </c>
      <c r="N33" s="12" t="s">
        <v/>
      </c>
      <c r="O33" s="12" t="s">
        <v/>
      </c>
      <c r="P33" s="12" t="s">
        <v/>
      </c>
      <c r="Q33" s="12"/>
      <c r="R33" s="12"/>
      <c r="S33" s="13"/>
      <c r="T33" s="61" t="str">
        <f t="shared" si="1"/>
        <v/>
      </c>
      <c r="U33" s="66" t="s">
        <v/>
      </c>
      <c r="V33" s="11" t="s">
        <v/>
      </c>
      <c r="W33" s="12" t="s">
        <v/>
      </c>
      <c r="X33" s="12" t="s">
        <v/>
      </c>
      <c r="Y33" s="12" t="s">
        <v/>
      </c>
      <c r="Z33" s="12"/>
      <c r="AA33" s="12"/>
      <c r="AB33" s="13"/>
      <c r="AC33" s="61" t="str">
        <f t="shared" si="2"/>
        <v/>
      </c>
      <c r="AD33" s="66" t="s">
        <v/>
      </c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9"/>
      <c r="AU33" s="80"/>
      <c r="AV33" s="31"/>
      <c r="AW33" s="30">
        <f t="shared" si="8"/>
        <v/>
      </c>
      <c r="AX33" s="30">
        <f t="shared" si="8"/>
        <v/>
      </c>
      <c r="AY33" s="30">
        <f t="shared" si="8"/>
        <v/>
      </c>
      <c r="AZ33" s="30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>
        <f t="shared" si="9"/>
        <v/>
      </c>
      <c r="BE33" s="26"/>
      <c r="BF33" s="28">
        <f t="shared" si="10"/>
        <v/>
      </c>
      <c r="BG33" s="28">
        <f t="shared" si="10"/>
        <v/>
      </c>
      <c r="BH33" s="28">
        <f t="shared" si="10"/>
        <v/>
      </c>
      <c r="BI33" s="28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>
        <f t="shared" si="11"/>
        <v/>
      </c>
      <c r="BN33" s="26"/>
      <c r="BO33" s="28">
        <f t="shared" si="12"/>
        <v/>
      </c>
      <c r="BP33" s="28">
        <f t="shared" si="12"/>
        <v/>
      </c>
      <c r="BQ33" s="28">
        <f t="shared" si="12"/>
        <v/>
      </c>
      <c r="BR33" s="28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>
        <f t="shared" si="13"/>
        <v/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/>
      </c>
      <c r="CF33" s="26"/>
      <c r="CG33" s="28">
        <f t="shared" si="16"/>
        <v/>
      </c>
      <c r="CH33" s="28">
        <f t="shared" si="21"/>
        <v/>
      </c>
      <c r="CI33" s="28">
        <f t="shared" si="17"/>
        <v/>
      </c>
      <c r="CJ33" s="28" t="e">
        <f t="shared" si="18"/>
        <v/>
      </c>
      <c r="CK33" s="27" t="e">
        <f t="shared" si="19"/>
        <v/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/>
      </c>
      <c r="B34" s="73" t="s">
        <v/>
      </c>
      <c r="C34" s="35"/>
      <c r="D34" s="11" t="s">
        <v/>
      </c>
      <c r="E34" s="12" t="s">
        <v/>
      </c>
      <c r="F34" s="12" t="s">
        <v/>
      </c>
      <c r="G34" s="12" t="s">
        <v/>
      </c>
      <c r="H34" s="12"/>
      <c r="I34" s="12"/>
      <c r="J34" s="13"/>
      <c r="K34" s="61" t="str">
        <f t="shared" si="0"/>
        <v/>
      </c>
      <c r="L34" s="66" t="s">
        <v/>
      </c>
      <c r="M34" s="11" t="s">
        <v/>
      </c>
      <c r="N34" s="12" t="s">
        <v/>
      </c>
      <c r="O34" s="12" t="s">
        <v/>
      </c>
      <c r="P34" s="12" t="s">
        <v/>
      </c>
      <c r="Q34" s="12"/>
      <c r="R34" s="12"/>
      <c r="S34" s="13"/>
      <c r="T34" s="61" t="str">
        <f t="shared" si="1"/>
        <v/>
      </c>
      <c r="U34" s="66" t="s">
        <v/>
      </c>
      <c r="V34" s="11" t="s">
        <v/>
      </c>
      <c r="W34" s="12" t="s">
        <v/>
      </c>
      <c r="X34" s="12" t="s">
        <v/>
      </c>
      <c r="Y34" s="12" t="s">
        <v/>
      </c>
      <c r="Z34" s="12"/>
      <c r="AA34" s="12"/>
      <c r="AB34" s="13"/>
      <c r="AC34" s="61" t="str">
        <f t="shared" si="2"/>
        <v/>
      </c>
      <c r="AD34" s="66" t="s">
        <v/>
      </c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9"/>
      <c r="AU34" s="80"/>
      <c r="AV34" s="31"/>
      <c r="AW34" s="30">
        <f t="shared" si="8"/>
        <v/>
      </c>
      <c r="AX34" s="30">
        <f t="shared" si="8"/>
        <v/>
      </c>
      <c r="AY34" s="30">
        <f t="shared" si="8"/>
        <v/>
      </c>
      <c r="AZ34" s="30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>
        <f t="shared" si="9"/>
        <v/>
      </c>
      <c r="BE34" s="26"/>
      <c r="BF34" s="28">
        <f t="shared" si="10"/>
        <v/>
      </c>
      <c r="BG34" s="28">
        <f t="shared" si="10"/>
        <v/>
      </c>
      <c r="BH34" s="28">
        <f t="shared" si="10"/>
        <v/>
      </c>
      <c r="BI34" s="28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>
        <f t="shared" si="11"/>
        <v/>
      </c>
      <c r="BN34" s="26"/>
      <c r="BO34" s="28">
        <f t="shared" si="12"/>
        <v/>
      </c>
      <c r="BP34" s="28">
        <f t="shared" si="12"/>
        <v/>
      </c>
      <c r="BQ34" s="28">
        <f t="shared" si="12"/>
        <v/>
      </c>
      <c r="BR34" s="28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>
        <f t="shared" si="13"/>
        <v/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/>
      </c>
      <c r="CF34" s="26"/>
      <c r="CG34" s="28">
        <f t="shared" si="16"/>
        <v/>
      </c>
      <c r="CH34" s="28">
        <f t="shared" si="21"/>
        <v/>
      </c>
      <c r="CI34" s="28">
        <f t="shared" si="17"/>
        <v/>
      </c>
      <c r="CJ34" s="28" t="e">
        <f t="shared" si="18"/>
        <v/>
      </c>
      <c r="CK34" s="27" t="e">
        <f t="shared" si="19"/>
        <v/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/>
      </c>
      <c r="B35" s="73" t="s">
        <v/>
      </c>
      <c r="C35" s="35"/>
      <c r="D35" s="11" t="s">
        <v/>
      </c>
      <c r="E35" s="12" t="s">
        <v/>
      </c>
      <c r="F35" s="12" t="s">
        <v/>
      </c>
      <c r="G35" s="12" t="s">
        <v/>
      </c>
      <c r="H35" s="12"/>
      <c r="I35" s="12"/>
      <c r="J35" s="13"/>
      <c r="K35" s="61" t="str">
        <f t="shared" si="0"/>
        <v/>
      </c>
      <c r="L35" s="66" t="s">
        <v/>
      </c>
      <c r="M35" s="11" t="s">
        <v/>
      </c>
      <c r="N35" s="12" t="s">
        <v/>
      </c>
      <c r="O35" s="12" t="s">
        <v/>
      </c>
      <c r="P35" s="12" t="s">
        <v/>
      </c>
      <c r="Q35" s="12"/>
      <c r="R35" s="12"/>
      <c r="S35" s="13"/>
      <c r="T35" s="61" t="str">
        <f t="shared" si="1"/>
        <v/>
      </c>
      <c r="U35" s="66" t="s">
        <v/>
      </c>
      <c r="V35" s="11" t="s">
        <v/>
      </c>
      <c r="W35" s="12" t="s">
        <v/>
      </c>
      <c r="X35" s="12" t="s">
        <v/>
      </c>
      <c r="Y35" s="12" t="s">
        <v/>
      </c>
      <c r="Z35" s="12"/>
      <c r="AA35" s="12"/>
      <c r="AB35" s="13"/>
      <c r="AC35" s="61" t="str">
        <f t="shared" si="2"/>
        <v/>
      </c>
      <c r="AD35" s="66" t="s">
        <v/>
      </c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9"/>
      <c r="AU35" s="80"/>
      <c r="AV35" s="31"/>
      <c r="AW35" s="30">
        <f t="shared" si="8"/>
        <v/>
      </c>
      <c r="AX35" s="30">
        <f t="shared" si="8"/>
        <v/>
      </c>
      <c r="AY35" s="30">
        <f t="shared" si="8"/>
        <v/>
      </c>
      <c r="AZ35" s="30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>
        <f t="shared" si="9"/>
        <v/>
      </c>
      <c r="BE35" s="26"/>
      <c r="BF35" s="28">
        <f t="shared" si="10"/>
        <v/>
      </c>
      <c r="BG35" s="28">
        <f t="shared" si="10"/>
        <v/>
      </c>
      <c r="BH35" s="28">
        <f t="shared" si="10"/>
        <v/>
      </c>
      <c r="BI35" s="28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>
        <f t="shared" si="11"/>
        <v/>
      </c>
      <c r="BN35" s="26"/>
      <c r="BO35" s="28">
        <f t="shared" si="12"/>
        <v/>
      </c>
      <c r="BP35" s="28">
        <f t="shared" si="12"/>
        <v/>
      </c>
      <c r="BQ35" s="28">
        <f t="shared" si="12"/>
        <v/>
      </c>
      <c r="BR35" s="28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>
        <f t="shared" si="13"/>
        <v/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/>
      </c>
      <c r="CF35" s="26"/>
      <c r="CG35" s="28">
        <f t="shared" si="16"/>
        <v/>
      </c>
      <c r="CH35" s="28">
        <f t="shared" si="21"/>
        <v/>
      </c>
      <c r="CI35" s="28">
        <f t="shared" si="17"/>
        <v/>
      </c>
      <c r="CJ35" s="28" t="e">
        <f t="shared" si="18"/>
        <v/>
      </c>
      <c r="CK35" s="27" t="e">
        <f t="shared" si="19"/>
        <v/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/>
      </c>
      <c r="B36" s="73" t="s">
        <v/>
      </c>
      <c r="C36" s="35"/>
      <c r="D36" s="11" t="s">
        <v/>
      </c>
      <c r="E36" s="12" t="s">
        <v/>
      </c>
      <c r="F36" s="12" t="s">
        <v/>
      </c>
      <c r="G36" s="12" t="s">
        <v/>
      </c>
      <c r="H36" s="12"/>
      <c r="I36" s="12"/>
      <c r="J36" s="13"/>
      <c r="K36" s="61" t="str">
        <f t="shared" si="0"/>
        <v/>
      </c>
      <c r="L36" s="66" t="s">
        <v/>
      </c>
      <c r="M36" s="11" t="s">
        <v/>
      </c>
      <c r="N36" s="12" t="s">
        <v/>
      </c>
      <c r="O36" s="12" t="s">
        <v/>
      </c>
      <c r="P36" s="12" t="s">
        <v/>
      </c>
      <c r="Q36" s="12"/>
      <c r="R36" s="12"/>
      <c r="S36" s="13"/>
      <c r="T36" s="61" t="str">
        <f t="shared" si="1"/>
        <v/>
      </c>
      <c r="U36" s="66" t="s">
        <v/>
      </c>
      <c r="V36" s="11" t="s">
        <v/>
      </c>
      <c r="W36" s="12" t="s">
        <v/>
      </c>
      <c r="X36" s="12" t="s">
        <v/>
      </c>
      <c r="Y36" s="12" t="s">
        <v/>
      </c>
      <c r="Z36" s="12"/>
      <c r="AA36" s="12"/>
      <c r="AB36" s="13"/>
      <c r="AC36" s="61" t="str">
        <f t="shared" si="2"/>
        <v/>
      </c>
      <c r="AD36" s="66" t="s">
        <v/>
      </c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9"/>
      <c r="AU36" s="80"/>
      <c r="AV36" s="31"/>
      <c r="AW36" s="30">
        <f t="shared" si="8"/>
        <v/>
      </c>
      <c r="AX36" s="30">
        <f t="shared" si="8"/>
        <v/>
      </c>
      <c r="AY36" s="30">
        <f t="shared" si="8"/>
        <v/>
      </c>
      <c r="AZ36" s="30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>
        <f t="shared" si="9"/>
        <v/>
      </c>
      <c r="BE36" s="26"/>
      <c r="BF36" s="28">
        <f t="shared" si="10"/>
        <v/>
      </c>
      <c r="BG36" s="28">
        <f t="shared" si="10"/>
        <v/>
      </c>
      <c r="BH36" s="28">
        <f t="shared" si="10"/>
        <v/>
      </c>
      <c r="BI36" s="28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>
        <f t="shared" si="11"/>
        <v/>
      </c>
      <c r="BN36" s="26"/>
      <c r="BO36" s="28">
        <f t="shared" si="12"/>
        <v/>
      </c>
      <c r="BP36" s="28">
        <f t="shared" si="12"/>
        <v/>
      </c>
      <c r="BQ36" s="28">
        <f t="shared" si="12"/>
        <v/>
      </c>
      <c r="BR36" s="28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>
        <f t="shared" si="13"/>
        <v/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/>
      </c>
      <c r="CF36" s="26"/>
      <c r="CG36" s="28">
        <f t="shared" si="16"/>
        <v/>
      </c>
      <c r="CH36" s="28">
        <f t="shared" si="21"/>
        <v/>
      </c>
      <c r="CI36" s="28">
        <f t="shared" si="17"/>
        <v/>
      </c>
      <c r="CJ36" s="28" t="e">
        <f t="shared" si="18"/>
        <v/>
      </c>
      <c r="CK36" s="27" t="e">
        <f t="shared" si="19"/>
        <v/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/>
      </c>
      <c r="B37" s="72" t="s">
        <v/>
      </c>
      <c r="C37" s="35"/>
      <c r="D37" s="11" t="s">
        <v/>
      </c>
      <c r="E37" s="12" t="s">
        <v/>
      </c>
      <c r="F37" s="12" t="s">
        <v/>
      </c>
      <c r="G37" s="12" t="s">
        <v/>
      </c>
      <c r="H37" s="12"/>
      <c r="I37" s="12"/>
      <c r="J37" s="13"/>
      <c r="K37" s="61" t="str">
        <f t="shared" si="0"/>
        <v/>
      </c>
      <c r="L37" s="66" t="s">
        <v/>
      </c>
      <c r="M37" s="11" t="s">
        <v/>
      </c>
      <c r="N37" s="12" t="s">
        <v/>
      </c>
      <c r="O37" s="12" t="s">
        <v/>
      </c>
      <c r="P37" s="12" t="s">
        <v/>
      </c>
      <c r="Q37" s="12"/>
      <c r="R37" s="12"/>
      <c r="S37" s="13"/>
      <c r="T37" s="61" t="str">
        <f t="shared" si="1"/>
        <v/>
      </c>
      <c r="U37" s="66" t="s">
        <v/>
      </c>
      <c r="V37" s="11" t="s">
        <v/>
      </c>
      <c r="W37" s="12" t="s">
        <v/>
      </c>
      <c r="X37" s="12" t="s">
        <v/>
      </c>
      <c r="Y37" s="12" t="s">
        <v/>
      </c>
      <c r="Z37" s="12"/>
      <c r="AA37" s="12"/>
      <c r="AB37" s="13"/>
      <c r="AC37" s="61" t="str">
        <f t="shared" si="2"/>
        <v/>
      </c>
      <c r="AD37" s="66" t="s">
        <v/>
      </c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9"/>
      <c r="AU37" s="80"/>
      <c r="AV37" s="31"/>
      <c r="AW37" s="30">
        <f t="shared" si="8"/>
        <v/>
      </c>
      <c r="AX37" s="30">
        <f t="shared" si="8"/>
        <v/>
      </c>
      <c r="AY37" s="30">
        <f t="shared" si="8"/>
        <v/>
      </c>
      <c r="AZ37" s="30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>
        <f t="shared" si="9"/>
        <v/>
      </c>
      <c r="BE37" s="26"/>
      <c r="BF37" s="28">
        <f t="shared" si="10"/>
        <v/>
      </c>
      <c r="BG37" s="28">
        <f t="shared" si="10"/>
        <v/>
      </c>
      <c r="BH37" s="28">
        <f t="shared" si="10"/>
        <v/>
      </c>
      <c r="BI37" s="28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>
        <f t="shared" si="11"/>
        <v/>
      </c>
      <c r="BN37" s="26"/>
      <c r="BO37" s="28">
        <f t="shared" si="12"/>
        <v/>
      </c>
      <c r="BP37" s="28">
        <f t="shared" si="12"/>
        <v/>
      </c>
      <c r="BQ37" s="28">
        <f t="shared" si="12"/>
        <v/>
      </c>
      <c r="BR37" s="28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>
        <f t="shared" si="13"/>
        <v/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/>
      </c>
      <c r="CF37" s="26"/>
      <c r="CG37" s="28">
        <f t="shared" si="16"/>
        <v/>
      </c>
      <c r="CH37" s="28">
        <f t="shared" si="21"/>
        <v/>
      </c>
      <c r="CI37" s="28">
        <f t="shared" si="17"/>
        <v/>
      </c>
      <c r="CJ37" s="28" t="e">
        <f t="shared" si="18"/>
        <v/>
      </c>
      <c r="CK37" s="27" t="e">
        <f t="shared" si="19"/>
        <v/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/>
      </c>
      <c r="B38" s="72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9"/>
      <c r="AU38" s="80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/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/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/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/>
      </c>
      <c r="CF38" s="26"/>
      <c r="CG38" s="28" t="e">
        <f t="shared" si="16"/>
        <v/>
      </c>
      <c r="CH38" s="28" t="e">
        <f t="shared" si="21"/>
        <v/>
      </c>
      <c r="CI38" s="28" t="e">
        <f t="shared" si="17"/>
        <v/>
      </c>
      <c r="CJ38" s="28" t="e">
        <f t="shared" si="18"/>
        <v/>
      </c>
      <c r="CK38" s="27" t="e">
        <f t="shared" si="19"/>
        <v/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/>
      </c>
      <c r="B39" s="72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9"/>
      <c r="AU39" s="80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/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/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/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/>
      </c>
      <c r="CF39" s="26"/>
      <c r="CG39" s="28" t="e">
        <f t="shared" si="16"/>
        <v/>
      </c>
      <c r="CH39" s="28" t="e">
        <f t="shared" si="21"/>
        <v/>
      </c>
      <c r="CI39" s="28" t="e">
        <f t="shared" si="17"/>
        <v/>
      </c>
      <c r="CJ39" s="28" t="e">
        <f t="shared" si="18"/>
        <v/>
      </c>
      <c r="CK39" s="27" t="e">
        <f t="shared" si="19"/>
        <v/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/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9"/>
      <c r="AU40" s="80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/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/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/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/>
      </c>
      <c r="CF40" s="26"/>
      <c r="CG40" s="28" t="e">
        <f t="shared" si="16"/>
        <v/>
      </c>
      <c r="CH40" s="28" t="e">
        <f t="shared" si="21"/>
        <v/>
      </c>
      <c r="CI40" s="28" t="e">
        <f t="shared" si="17"/>
        <v/>
      </c>
      <c r="CJ40" s="28" t="e">
        <f t="shared" si="18"/>
        <v/>
      </c>
      <c r="CK40" s="27" t="e">
        <f t="shared" si="19"/>
        <v/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9"/>
      <c r="AU41" s="80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9"/>
      <c r="AU42" s="80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9"/>
      <c r="AU43" s="80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9"/>
      <c r="AU44" s="80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78" t="s">
        <v>50</v>
      </c>
      <c r="DX88" s="78"/>
      <c r="DY88" s="78"/>
      <c r="DZ88" s="78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8.8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8" priority="1" operator="between">
      <formula>1</formula>
      <formula>40</formula>
    </cfRule>
  </conditionalFormatting>
  <conditionalFormatting sqref="M51:S51">
    <cfRule type="cellIs" dxfId="7" priority="8" operator="lessThan">
      <formula>11</formula>
    </cfRule>
    <cfRule type="cellIs" dxfId="6" priority="9" operator="greaterThan">
      <formula>10</formula>
    </cfRule>
  </conditionalFormatting>
  <conditionalFormatting sqref="V51:AD51">
    <cfRule type="cellIs" dxfId="5" priority="6" operator="lessThan">
      <formula>11</formula>
    </cfRule>
    <cfRule type="cellIs" dxfId="4" priority="7" operator="greaterThan">
      <formula>10</formula>
    </cfRule>
  </conditionalFormatting>
  <conditionalFormatting sqref="AO11:AT50">
    <cfRule type="containsText" dxfId="3" priority="2" operator="containsText" text="C">
      <formula>NOT(ISERROR(SEARCH("C",AO11)))</formula>
    </cfRule>
    <cfRule type="containsText" dxfId="2" priority="3" operator="containsText" text="B">
      <formula>NOT(ISERROR(SEARCH("B",AO11)))</formula>
    </cfRule>
    <cfRule type="endsWith" dxfId="1" priority="4" operator="endsWith" text="A">
      <formula>RIGHT(AO11,LEN("A"))="A"</formula>
    </cfRule>
    <cfRule type="endsWith" dxfId="0" priority="5" operator="endsWith" text="D">
      <formula>RIGHT(AO11,LEN("D"))="D"</formula>
    </cfRule>
  </conditionalFormatting>
  <dataValidations count="4">
    <dataValidation type="textLength" allowBlank="1" showInputMessage="1" showErrorMessage="1" sqref="D11:J50 AE11:AK50 M11:S50 V11:AB50" xr:uid="{CAF73DB6-99AE-4459-A823-4A42EFAE5653}">
      <formula1>1</formula1>
      <formula2>2</formula2>
    </dataValidation>
    <dataValidation type="list" allowBlank="1" showInputMessage="1" showErrorMessage="1" sqref="AH5:AS5" xr:uid="{4A43F192-44E0-48A8-B97D-9C982BB58176}">
      <formula1>$DV$107:$DV$111</formula1>
    </dataValidation>
    <dataValidation type="list" allowBlank="1" showInputMessage="1" showErrorMessage="1" sqref="AH4:AS4" xr:uid="{EF1CB724-6D63-4D35-960E-3B55E02EA60D}">
      <formula1>$DV$101:$DV$105</formula1>
    </dataValidation>
    <dataValidation type="list" allowBlank="1" showInputMessage="1" showErrorMessage="1" sqref="M4:W4" xr:uid="{F6E79BA2-B18F-4E8D-ADEB-1A873A610837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3°A</vt:lpstr>
      <vt:lpstr>'3°A'!Área_de_impresión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Muños</dc:creator>
  <cp:lastModifiedBy>julio cesar martel vasquez</cp:lastModifiedBy>
  <cp:lastPrinted>2025-06-16T17:24:02Z</cp:lastPrinted>
  <dcterms:created xsi:type="dcterms:W3CDTF">2017-09-26T02:35:34Z</dcterms:created>
  <dcterms:modified xsi:type="dcterms:W3CDTF">2026-08-26T17:49:17Z</dcterms:modified>
</cp:coreProperties>
</file>